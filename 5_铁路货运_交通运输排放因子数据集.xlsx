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<sst xmlns="http://schemas.openxmlformats.org/spreadsheetml/2006/main" count="107" uniqueCount="62">
  <si>
    <t>编号</t>
  </si>
  <si>
    <t>数据年份</t>
  </si>
  <si>
    <t>来源</t>
  </si>
  <si>
    <t>来源地址</t>
  </si>
  <si>
    <t>归一化因子（kgCO₂e/(t·km)）</t>
  </si>
  <si>
    <t>状态</t>
  </si>
  <si>
    <t>2023</t>
  </si>
  <si>
    <t>中国产品全生命周期温室气体排放系数库（CPCD）</t>
  </si>
  <si>
    <t>https://lca.cityghg.com/pages/product-view/10067</t>
  </si>
  <si>
    <t>未纳入</t>
  </si>
  <si>
    <t>2018–2019</t>
  </si>
  <si>
    <t>Smart Freight Centre / GLEC v3.2</t>
  </si>
  <si>
    <t>https://smart-freight-centre-media.s3.amazonaws.com/documents/GLEC_FRAMEWORK_v3.2_21_10_25_1.pdf</t>
  </si>
  <si>
    <t>纳入</t>
  </si>
  <si>
    <t>2025</t>
  </si>
  <si>
    <t>Canadian National Railway (CN) + GLEC</t>
  </si>
  <si>
    <t>https://www.cn.ca/repository/popups/ghg/Carbon-Calculator-Emission-Factors</t>
  </si>
  <si>
    <t>2024–2025</t>
  </si>
  <si>
    <t>UK DESNZ</t>
  </si>
  <si>
    <t>https://www.gov.uk/government/publications/greenhouse-gas-reporting-conversion-factors-2026</t>
  </si>
  <si>
    <t>KiwiRail Integrated Report 2025</t>
  </si>
  <si>
    <t>https://www.kiwirail.co.nz/assets/Uploads/documents/Annual-reports/2025/Annual-Integrated-Report-2025-KiwiRail-v2.pdf</t>
  </si>
  <si>
    <t>2008</t>
  </si>
  <si>
    <t>UIC / IFEU / Öko-Institut</t>
  </si>
  <si>
    <t>https://uic.org/IMG/pdf/uic_rail_infrastructure_111104.pdf</t>
  </si>
  <si>
    <t>Office of Rail and Road (ORR)</t>
  </si>
  <si>
    <t>https://dataportal.orr.gov.uk/media/xw4f0ohl/rail-environment-2024-25.pdf</t>
  </si>
  <si>
    <t>Canadian National Railway (CN)</t>
  </si>
  <si>
    <t>2018</t>
  </si>
  <si>
    <t>ADEME / Base Empreinte</t>
  </si>
  <si>
    <t>https://cee-remove.ademe.fr/wp-content/uploads/2024/12/fiches-actions-log-te_ferroviaire_juin-2024.pdf</t>
  </si>
  <si>
    <t>未提供</t>
  </si>
  <si>
    <t>2024</t>
  </si>
  <si>
    <t>中国产品全生命周期温室气体排放系数库（CPCD，旧版）</t>
  </si>
  <si>
    <t>EcoTransIT + 中国电力因子工程情景</t>
  </si>
  <si>
    <t>https://www.ecotransit.org/en/</t>
  </si>
  <si>
    <t>2017</t>
  </si>
  <si>
    <t>US EPA SmartWay</t>
  </si>
  <si>
    <t>https://www.epa.gov/system/files/documents/2024-11/420b24048.pdf</t>
  </si>
  <si>
    <t>国家铁路局/交通运输部 + 生态环境部</t>
  </si>
  <si>
    <t>https://www.mot.gov.cn/shuju/tongjishuju/tielu/202601/P020260104367323405453.pdf</t>
  </si>
  <si>
    <t>R</t>
  </si>
  <si>
    <t>C</t>
  </si>
  <si>
    <t>Te</t>
  </si>
  <si>
    <t>G</t>
  </si>
  <si>
    <t>T</t>
  </si>
  <si>
    <t>DQR</t>
  </si>
  <si>
    <t>Q</t>
  </si>
  <si>
    <t>W</t>
  </si>
  <si>
    <t>W·ln(e)</t>
  </si>
  <si>
    <t>方法</t>
  </si>
  <si>
    <t>符号</t>
  </si>
  <si>
    <t>最终结果（kgCO₂e/(t·km)）</t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</si>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</sst>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"/>
  </numFmts>
  <fonts count="24">
    <font>
      <sz val="11"/>
      <name val="宋体"/>
      <charset val="134"/>
    </font>
    <font>
      <b/>
      <sz val="10"/>
      <color rgb="FF000000"/>
      <name val="宋体"/>
      <charset val="134"/>
    </font>
    <font>
      <b/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7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 wrapText="1"/>
    </xf>
    <xf numFmtId="1" fontId="4" fillId="0" borderId="6" xfId="0" applyNumberFormat="1" applyFont="1" applyFill="1" applyBorder="1" applyAlignment="1">
      <alignment horizontal="center" vertical="center" wrapText="1"/>
    </xf>
    <xf numFmtId="1" fontId="4" fillId="0" borderId="7" xfId="0" applyNumberFormat="1" applyFont="1" applyFill="1" applyBorder="1" applyAlignment="1">
      <alignment horizontal="center" vertical="center" wrapText="1"/>
    </xf>
    <xf numFmtId="177" fontId="4" fillId="0" borderId="7" xfId="0" applyNumberFormat="1" applyFont="1" applyFill="1" applyBorder="1" applyAlignment="1">
      <alignment horizontal="center" vertical="center" wrapText="1"/>
    </xf>
    <xf numFmtId="2" fontId="4" fillId="0" borderId="7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Fill="1" applyBorder="1" applyAlignment="1">
      <alignment horizontal="center" vertical="center" wrapText="1"/>
    </xf>
    <xf numFmtId="176" fontId="3" fillId="0" borderId="0" xfId="49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8"/>
  <sheetViews>
    <sheetView tabSelected="1" topLeftCell="A12" workbookViewId="0">
      <selection activeCell="E11" sqref="E11"/>
    </sheetView>
  </sheetViews>
  <sheetFormatPr defaultColWidth="9" defaultRowHeight="13.5" outlineLevelCol="5"/>
  <cols>
    <col min="1" max="1" width="8" customWidth="1"/>
    <col min="2" max="2" width="14" customWidth="1"/>
    <col min="3" max="3" width="31" customWidth="1"/>
    <col min="4" max="4" width="48" customWidth="1"/>
    <col min="5" max="5" width="29.9380530973451" customWidth="1"/>
    <col min="6" max="6" width="10" customWidth="1"/>
  </cols>
  <sheetData>
    <row r="1" ht="32" customHeight="1" spans="1: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ht="54" customHeight="1" spans="1:6">
      <c r="A2" s="14">
        <v>1</v>
      </c>
      <c r="B2" s="6" t="s">
        <v>6</v>
      </c>
      <c r="C2" s="6" t="s">
        <v>7</v>
      </c>
      <c r="D2" s="6" t="s">
        <v>8</v>
      </c>
      <c r="E2" s="7">
        <v>0.006406</v>
      </c>
      <c r="F2" s="8" t="s">
        <v>9</v>
      </c>
    </row>
    <row r="3" ht="54" customHeight="1" spans="1:6">
      <c r="A3" s="14">
        <v>2</v>
      </c>
      <c r="B3" s="6" t="s">
        <v>10</v>
      </c>
      <c r="C3" s="6" t="s">
        <v>11</v>
      </c>
      <c r="D3" s="6" t="s">
        <v>12</v>
      </c>
      <c r="E3" s="7">
        <v>0.0106</v>
      </c>
      <c r="F3" s="8" t="s">
        <v>13</v>
      </c>
    </row>
    <row r="4" ht="54" customHeight="1" spans="1:6">
      <c r="A4" s="14">
        <v>3</v>
      </c>
      <c r="B4" s="6" t="s">
        <v>14</v>
      </c>
      <c r="C4" s="6" t="s">
        <v>15</v>
      </c>
      <c r="D4" s="6" t="s">
        <v>16</v>
      </c>
      <c r="E4" s="7">
        <v>0.0140214179104478</v>
      </c>
      <c r="F4" s="8" t="s">
        <v>13</v>
      </c>
    </row>
    <row r="5" ht="54" customHeight="1" spans="1:6">
      <c r="A5" s="14">
        <v>4</v>
      </c>
      <c r="B5" s="6" t="s">
        <v>17</v>
      </c>
      <c r="C5" s="6" t="s">
        <v>18</v>
      </c>
      <c r="D5" s="6" t="s">
        <v>19</v>
      </c>
      <c r="E5" s="7">
        <v>0.03274</v>
      </c>
      <c r="F5" s="8" t="s">
        <v>13</v>
      </c>
    </row>
    <row r="6" ht="54" customHeight="1" spans="1:6">
      <c r="A6" s="14">
        <v>5</v>
      </c>
      <c r="B6" s="6" t="s">
        <v>17</v>
      </c>
      <c r="C6" s="6" t="s">
        <v>20</v>
      </c>
      <c r="D6" s="6" t="s">
        <v>21</v>
      </c>
      <c r="E6" s="7">
        <v>0.02779</v>
      </c>
      <c r="F6" s="8" t="s">
        <v>9</v>
      </c>
    </row>
    <row r="7" ht="54" customHeight="1" spans="1:6">
      <c r="A7" s="14">
        <v>6</v>
      </c>
      <c r="B7" s="6" t="s">
        <v>22</v>
      </c>
      <c r="C7" s="6" t="s">
        <v>23</v>
      </c>
      <c r="D7" s="6" t="s">
        <v>24</v>
      </c>
      <c r="E7" s="7">
        <v>0.011</v>
      </c>
      <c r="F7" s="8" t="s">
        <v>9</v>
      </c>
    </row>
    <row r="8" ht="54" customHeight="1" spans="1:6">
      <c r="A8" s="14">
        <v>7</v>
      </c>
      <c r="B8" s="6" t="s">
        <v>14</v>
      </c>
      <c r="C8" s="6" t="s">
        <v>11</v>
      </c>
      <c r="D8" s="6" t="s">
        <v>12</v>
      </c>
      <c r="E8" s="7">
        <v>0.0184</v>
      </c>
      <c r="F8" s="8" t="s">
        <v>9</v>
      </c>
    </row>
    <row r="9" ht="54" customHeight="1" spans="1:6">
      <c r="A9" s="14">
        <v>8</v>
      </c>
      <c r="B9" s="6" t="s">
        <v>14</v>
      </c>
      <c r="C9" s="6" t="s">
        <v>11</v>
      </c>
      <c r="D9" s="6" t="s">
        <v>12</v>
      </c>
      <c r="E9" s="7">
        <v>0.0161</v>
      </c>
      <c r="F9" s="8" t="s">
        <v>9</v>
      </c>
    </row>
    <row r="10" ht="54" customHeight="1" spans="1:6">
      <c r="A10" s="14">
        <v>9</v>
      </c>
      <c r="B10" s="6" t="s">
        <v>17</v>
      </c>
      <c r="C10" s="6" t="s">
        <v>25</v>
      </c>
      <c r="D10" s="6" t="s">
        <v>26</v>
      </c>
      <c r="E10" s="7">
        <v>0.0255</v>
      </c>
      <c r="F10" s="8" t="s">
        <v>9</v>
      </c>
    </row>
    <row r="11" ht="54" customHeight="1" spans="1:6">
      <c r="A11" s="14">
        <v>10</v>
      </c>
      <c r="B11" s="6" t="s">
        <v>14</v>
      </c>
      <c r="C11" s="6" t="s">
        <v>27</v>
      </c>
      <c r="D11" s="6" t="s">
        <v>16</v>
      </c>
      <c r="E11" s="7">
        <v>0.01167</v>
      </c>
      <c r="F11" s="8" t="s">
        <v>9</v>
      </c>
    </row>
    <row r="12" ht="54" customHeight="1" spans="1:6">
      <c r="A12" s="14">
        <v>11</v>
      </c>
      <c r="B12" s="6" t="s">
        <v>28</v>
      </c>
      <c r="C12" s="6" t="s">
        <v>29</v>
      </c>
      <c r="D12" s="6" t="s">
        <v>30</v>
      </c>
      <c r="E12" s="24" t="s">
        <v>31</v>
      </c>
      <c r="F12" s="8" t="s">
        <v>9</v>
      </c>
    </row>
    <row r="13" ht="54" customHeight="1" spans="1:6">
      <c r="A13" s="14">
        <v>12</v>
      </c>
      <c r="B13" s="6" t="s">
        <v>28</v>
      </c>
      <c r="C13" s="6" t="s">
        <v>29</v>
      </c>
      <c r="D13" s="6" t="s">
        <v>30</v>
      </c>
      <c r="E13" s="7">
        <v>0.028</v>
      </c>
      <c r="F13" s="8" t="s">
        <v>9</v>
      </c>
    </row>
    <row r="14" ht="54" customHeight="1" spans="1:6">
      <c r="A14" s="14">
        <v>13</v>
      </c>
      <c r="B14" s="6" t="s">
        <v>22</v>
      </c>
      <c r="C14" s="6" t="s">
        <v>23</v>
      </c>
      <c r="D14" s="6" t="s">
        <v>24</v>
      </c>
      <c r="E14" s="7">
        <v>0.0275</v>
      </c>
      <c r="F14" s="8" t="s">
        <v>9</v>
      </c>
    </row>
    <row r="15" ht="54" customHeight="1" spans="1:6">
      <c r="A15" s="14">
        <v>14</v>
      </c>
      <c r="B15" s="6" t="s">
        <v>32</v>
      </c>
      <c r="C15" s="6" t="s">
        <v>33</v>
      </c>
      <c r="D15" s="6" t="s">
        <v>8</v>
      </c>
      <c r="E15" s="7">
        <v>0.006502</v>
      </c>
      <c r="F15" s="8" t="s">
        <v>9</v>
      </c>
    </row>
    <row r="16" ht="54" customHeight="1" spans="1:6">
      <c r="A16" s="14">
        <v>15</v>
      </c>
      <c r="B16" s="6" t="s">
        <v>6</v>
      </c>
      <c r="C16" s="6" t="s">
        <v>34</v>
      </c>
      <c r="D16" s="6" t="s">
        <v>35</v>
      </c>
      <c r="E16" s="7">
        <v>0.02292192</v>
      </c>
      <c r="F16" s="8" t="s">
        <v>9</v>
      </c>
    </row>
    <row r="17" ht="54" customHeight="1" spans="1:6">
      <c r="A17" s="14">
        <v>16</v>
      </c>
      <c r="B17" s="6" t="s">
        <v>36</v>
      </c>
      <c r="C17" s="6" t="s">
        <v>37</v>
      </c>
      <c r="D17" s="6" t="s">
        <v>38</v>
      </c>
      <c r="E17" s="7">
        <v>0.01419</v>
      </c>
      <c r="F17" s="8" t="s">
        <v>9</v>
      </c>
    </row>
    <row r="18" ht="54" customHeight="1" spans="1:6">
      <c r="A18" s="19">
        <v>17</v>
      </c>
      <c r="B18" s="10" t="s">
        <v>32</v>
      </c>
      <c r="C18" s="25" t="s">
        <v>39</v>
      </c>
      <c r="D18" s="10" t="s">
        <v>40</v>
      </c>
      <c r="E18" s="11">
        <v>0.0100830856484959</v>
      </c>
      <c r="F18" s="12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4"/>
  <sheetViews>
    <sheetView workbookViewId="0">
      <selection activeCell="A1" sqref="A1"/>
    </sheetView>
  </sheetViews>
  <sheetFormatPr defaultColWidth="9" defaultRowHeight="13.5" outlineLevelRow="3"/>
  <cols>
    <col min="1" max="1" width="8" customWidth="1"/>
    <col min="2" max="2" width="31" customWidth="1"/>
    <col min="3" max="3" width="14" customWidth="1"/>
    <col min="4" max="4" width="36.5752212389381" customWidth="1"/>
    <col min="5" max="9" width="7" customWidth="1"/>
    <col min="10" max="10" width="10" customWidth="1"/>
    <col min="11" max="12" width="8" customWidth="1"/>
    <col min="13" max="13" width="13" customWidth="1"/>
  </cols>
  <sheetData>
    <row r="1" ht="34" customHeight="1" spans="1:13">
      <c r="A1" s="1" t="s">
        <v>0</v>
      </c>
      <c r="B1" s="2" t="s">
        <v>2</v>
      </c>
      <c r="C1" s="2" t="s">
        <v>1</v>
      </c>
      <c r="D1" s="3" t="s">
        <v>4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13" t="s">
        <v>49</v>
      </c>
    </row>
    <row r="2" ht="36" customHeight="1" spans="1:13">
      <c r="A2" s="14">
        <v>1</v>
      </c>
      <c r="B2" s="6" t="s">
        <v>11</v>
      </c>
      <c r="C2" s="6" t="s">
        <v>10</v>
      </c>
      <c r="D2" s="7">
        <v>0.0106</v>
      </c>
      <c r="E2" s="15">
        <v>2</v>
      </c>
      <c r="F2" s="15">
        <v>2</v>
      </c>
      <c r="G2" s="15">
        <v>2</v>
      </c>
      <c r="H2" s="15">
        <v>2</v>
      </c>
      <c r="I2" s="15">
        <v>3</v>
      </c>
      <c r="J2" s="16">
        <f>AVERAGE(E2:I2)</f>
        <v>2.2</v>
      </c>
      <c r="K2" s="17">
        <v>0.7</v>
      </c>
      <c r="L2" s="17">
        <f>K2/SUM($K$2:$K$4)</f>
        <v>0.35</v>
      </c>
      <c r="M2" s="18">
        <f>L2*LN(D2)</f>
        <v>-1.59141544725244</v>
      </c>
    </row>
    <row r="3" ht="36" customHeight="1" spans="1:13">
      <c r="A3" s="14">
        <v>2</v>
      </c>
      <c r="B3" s="6" t="s">
        <v>15</v>
      </c>
      <c r="C3" s="6" t="s">
        <v>14</v>
      </c>
      <c r="D3" s="7">
        <v>0.0140214179104478</v>
      </c>
      <c r="E3" s="15">
        <v>2</v>
      </c>
      <c r="F3" s="15">
        <v>3</v>
      </c>
      <c r="G3" s="15">
        <v>3</v>
      </c>
      <c r="H3" s="15">
        <v>4</v>
      </c>
      <c r="I3" s="15">
        <v>1</v>
      </c>
      <c r="J3" s="16">
        <f>AVERAGE(E3:I3)</f>
        <v>2.6</v>
      </c>
      <c r="K3" s="17">
        <v>0.6</v>
      </c>
      <c r="L3" s="17">
        <f>K3/SUM($K$2:$K$4)</f>
        <v>0.3</v>
      </c>
      <c r="M3" s="18">
        <f>L3*LN(D3)</f>
        <v>-1.28015078029504</v>
      </c>
    </row>
    <row r="4" ht="36" customHeight="1" spans="1:13">
      <c r="A4" s="19">
        <v>3</v>
      </c>
      <c r="B4" s="10" t="s">
        <v>18</v>
      </c>
      <c r="C4" s="10" t="s">
        <v>17</v>
      </c>
      <c r="D4" s="11">
        <v>0.03274</v>
      </c>
      <c r="E4" s="20">
        <v>1</v>
      </c>
      <c r="F4" s="20">
        <v>2</v>
      </c>
      <c r="G4" s="20">
        <v>3</v>
      </c>
      <c r="H4" s="20">
        <v>4</v>
      </c>
      <c r="I4" s="20">
        <v>1</v>
      </c>
      <c r="J4" s="21">
        <f>AVERAGE(E4:I4)</f>
        <v>2.2</v>
      </c>
      <c r="K4" s="22">
        <v>0.7</v>
      </c>
      <c r="L4" s="22">
        <f>K4/SUM($K$2:$K$4)</f>
        <v>0.35</v>
      </c>
      <c r="M4" s="23">
        <f>L4*LN(D4)</f>
        <v>-1.1967051974637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"/>
  <sheetViews>
    <sheetView workbookViewId="0">
      <selection activeCell="A1" sqref="A1"/>
    </sheetView>
  </sheetViews>
  <sheetFormatPr defaultColWidth="9" defaultRowHeight="13.5" outlineLevelRow="3" outlineLevelCol="3"/>
  <cols>
    <col min="1" max="1" width="22" customWidth="1"/>
    <col min="2" max="2" width="10" customWidth="1"/>
    <col min="3" max="3" width="28" customWidth="1"/>
    <col min="4" max="4" width="12" customWidth="1"/>
  </cols>
  <sheetData>
    <row r="1" ht="32" customHeight="1" spans="1:4">
      <c r="A1" s="1" t="s">
        <v>50</v>
      </c>
      <c r="B1" s="2" t="s">
        <v>51</v>
      </c>
      <c r="C1" s="3" t="s">
        <v>52</v>
      </c>
      <c r="D1" s="4" t="s">
        <v>53</v>
      </c>
    </row>
    <row r="2" ht="30" customHeight="1" spans="1:4">
      <c r="A2" s="5" t="s">
        <v>54</v>
      </c>
      <c r="B2" s="6" t="s">
        <v>55</v>
      </c>
      <c r="C2" s="7">
        <f>EXP(SUM('02_评分与权重'!M2:M4))</f>
        <v>0.0171069335822152</v>
      </c>
      <c r="D2" s="8" t="s">
        <v>56</v>
      </c>
    </row>
    <row r="3" ht="30" customHeight="1" spans="1:4">
      <c r="A3" s="5" t="s">
        <v>57</v>
      </c>
      <c r="B3" s="6" t="s">
        <v>58</v>
      </c>
      <c r="C3" s="7">
        <f>AVERAGE('02_评分与权重'!D2:D4)</f>
        <v>0.0191204726368159</v>
      </c>
      <c r="D3" s="8" t="s">
        <v>59</v>
      </c>
    </row>
    <row r="4" ht="30" customHeight="1" spans="1:4">
      <c r="A4" s="9" t="s">
        <v>60</v>
      </c>
      <c r="B4" s="10" t="s">
        <v>61</v>
      </c>
      <c r="C4" s="11">
        <f>('02_评分与权重'!D2*'02_评分与权重'!D3*'02_评分与权重'!D4)^(1/3)</f>
        <v>0.0169456731208241</v>
      </c>
      <c r="D4" s="12" t="s">
        <v>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2026-09-02T04:00:00Z</dcterms:created>
  <dcterms:modified xsi:type="dcterms:W3CDTF">2026-09-02T04:15:43Z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42CD78CAD4F4477EBE2AC2335D10068B_12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