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8205"/>
  </bookViews>
  <sheets>
    <sheet name="01_数据来源" sheetId="1" r:id="rId1"/>
    <sheet name="02_评分与权重" sheetId="2" r:id="rId2"/>
    <sheet name="03_最终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<sst xmlns="http://schemas.openxmlformats.org/spreadsheetml/2006/main" count="97" uniqueCount="50">
  <si>
    <t>编号</t>
  </si>
  <si>
    <t>数据年份</t>
  </si>
  <si>
    <t>来源</t>
  </si>
  <si>
    <t>来源地址</t>
  </si>
  <si>
    <r>
      <rPr>
        <b/>
        <sz val="10"/>
        <color rgb="FF000000"/>
        <rFont val="宋体"/>
        <charset val="134"/>
      </rPr>
      <t>归一化因子（kgCO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宋体"/>
        <charset val="134"/>
      </rPr>
      <t>e/(t·km)）</t>
    </r>
  </si>
  <si>
    <t>状态</t>
  </si>
  <si>
    <t>Smart Freight Centre / GLEC Framework v3.2</t>
  </si>
  <si>
    <t>https://smart-freight-centre-media.s3.amazonaws.com/documents/GLEC_FRAMEWORK_v3.2_21_10_25_1.pdf</t>
  </si>
  <si>
    <t>纳入</t>
  </si>
  <si>
    <t>未纳入</t>
  </si>
  <si>
    <t>UK Government GHG Conversion Factors 2026</t>
  </si>
  <si>
    <t>https://www.gov.uk/government/publications/greenhouse-gas-reporting-conversion-factors-2026</t>
  </si>
  <si>
    <t>CE Delft STREAM Freight Transport 2020</t>
  </si>
  <si>
    <t>https://cedelft.eu/wp-content/uploads/sites/2/2021/03/CE_Delft_190325_STREAM_Freight_Transport_2020_FINAL.pdf</t>
  </si>
  <si>
    <t>ADEME Base Carbone / DGAC TARMAAC</t>
  </si>
  <si>
    <t>https://prod-basecarbonesolo.ademe-dri.fr/documentation/UPLOAD_DOC_FR/aerien.htm</t>
  </si>
  <si>
    <t>EcoTransIT World Methodology</t>
  </si>
  <si>
    <t>https://www.ecotransit.org/en/methodology/</t>
  </si>
  <si>
    <t>未注明</t>
  </si>
  <si>
    <t>中国本地零碳物流平台/本地化因子</t>
  </si>
  <si>
    <t>https://lingtan.chinacsrmap.org/wp-content/uploads/2025/03/gzgfglyspfyz.pdf</t>
  </si>
  <si>
    <t>中国民用航空局《2024年民航行业发展统计公报》</t>
  </si>
  <si>
    <t>https://www.mot.gov.cn/fenxigongbao/hangyegongbao/202505/P020250825409204940412.pdf</t>
  </si>
  <si>
    <t>IATA CO₂ Connect Cargo / RP1678</t>
  </si>
  <si>
    <t>https://www.iata.org/en/services/data/environment-sustainability/co2-connect/for-cargo/</t>
  </si>
  <si>
    <t>未提供</t>
  </si>
  <si>
    <t>R</t>
  </si>
  <si>
    <t>C</t>
  </si>
  <si>
    <t>Te</t>
  </si>
  <si>
    <t>G</t>
  </si>
  <si>
    <t>T</t>
  </si>
  <si>
    <t>DQR</t>
  </si>
  <si>
    <t>Q</t>
  </si>
  <si>
    <t>W</t>
  </si>
  <si>
    <t>W·ln(e)</t>
  </si>
  <si>
    <t>GLEC Framework v3.2</t>
  </si>
  <si>
    <t>UK Government 2026</t>
  </si>
  <si>
    <t>EcoTransIT World</t>
  </si>
  <si>
    <t>方法</t>
  </si>
  <si>
    <t>符号</t>
  </si>
  <si>
    <t>最终结果（kgCO₂e/(t·km)）</t>
  </si>
  <si>
    <t>用途</t>
  </si>
  <si>
    <t>质量加权几何均值</t>
  </si>
  <si>
    <t>QWGM</t>
  </si>
  <si>
    <t>基准值</t>
  </si>
  <si>
    <t>等权算术均值</t>
  </si>
  <si>
    <t>AM</t>
  </si>
  <si>
    <t>对照值</t>
  </si>
  <si>
    <t>等权几何均值</t>
  </si>
  <si>
    <t>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</si>
</sst>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6">
    <font>
      <sz val="11"/>
      <name val="Times New Roman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0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 wrapText="1"/>
    </xf>
    <xf numFmtId="176" fontId="3" fillId="0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  <xf numFmtId="1" fontId="3" fillId="0" borderId="0" xfId="49" applyNumberFormat="1" applyFont="1" applyFill="1" applyBorder="1" applyAlignment="1">
      <alignment horizontal="center" vertical="center" wrapText="1"/>
    </xf>
    <xf numFmtId="1" fontId="2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Times New Roman"/>
        <a:ea typeface="宋体"/>
        <a:cs typeface="Times New Roman"/>
      </a:majorFont>
      <a:minorFont>
        <a:latin typeface="Times New Roman"/>
        <a:ea typeface="宋体"/>
        <a:cs typeface="Times New Roma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0"/>
  <sheetViews>
    <sheetView tabSelected="1" topLeftCell="A12" workbookViewId="0">
      <selection activeCell="E16" sqref="E16"/>
    </sheetView>
  </sheetViews>
  <sheetFormatPr defaultColWidth="9" defaultRowHeight="13.85" outlineLevelCol="5"/>
  <cols>
    <col min="1" max="1" width="8" customWidth="1"/>
    <col min="2" max="2" width="10" customWidth="1"/>
    <col min="3" max="3" width="34" customWidth="1"/>
    <col min="4" max="4" width="55" customWidth="1"/>
    <col min="5" max="5" width="33.5809523809524" customWidth="1"/>
    <col min="6" max="6" width="26" customWidth="1"/>
  </cols>
  <sheetData>
    <row r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9.4" spans="1:6">
      <c r="A2" s="6">
        <v>1</v>
      </c>
      <c r="B2" s="6">
        <v>2022</v>
      </c>
      <c r="C2" s="3" t="s">
        <v>6</v>
      </c>
      <c r="D2" s="3" t="s">
        <v>7</v>
      </c>
      <c r="E2" s="4">
        <v>0.788</v>
      </c>
      <c r="F2" s="2" t="s">
        <v>8</v>
      </c>
    </row>
    <row r="3" ht="39.4" spans="1:6">
      <c r="A3" s="6">
        <v>2</v>
      </c>
      <c r="B3" s="6">
        <v>2022</v>
      </c>
      <c r="C3" s="3" t="s">
        <v>6</v>
      </c>
      <c r="D3" s="3" t="s">
        <v>7</v>
      </c>
      <c r="E3" s="4">
        <v>0.608</v>
      </c>
      <c r="F3" s="2" t="s">
        <v>9</v>
      </c>
    </row>
    <row r="4" ht="39.4" spans="1:6">
      <c r="A4" s="6">
        <v>3</v>
      </c>
      <c r="B4" s="6">
        <v>2022</v>
      </c>
      <c r="C4" s="3" t="s">
        <v>6</v>
      </c>
      <c r="D4" s="3" t="s">
        <v>7</v>
      </c>
      <c r="E4" s="4">
        <v>0.936</v>
      </c>
      <c r="F4" s="2" t="s">
        <v>9</v>
      </c>
    </row>
    <row r="5" ht="38" customHeight="1" spans="1:6">
      <c r="A5" s="6">
        <v>4</v>
      </c>
      <c r="B5" s="6">
        <v>2023</v>
      </c>
      <c r="C5" s="3" t="s">
        <v>10</v>
      </c>
      <c r="D5" s="3" t="s">
        <v>11</v>
      </c>
      <c r="E5" s="4">
        <v>0.5313</v>
      </c>
      <c r="F5" s="2" t="s">
        <v>9</v>
      </c>
    </row>
    <row r="6" ht="38" customHeight="1" spans="1:6">
      <c r="A6" s="6">
        <v>5</v>
      </c>
      <c r="B6" s="6">
        <v>2023</v>
      </c>
      <c r="C6" s="3" t="s">
        <v>10</v>
      </c>
      <c r="D6" s="3" t="s">
        <v>11</v>
      </c>
      <c r="E6" s="4">
        <v>0.13516</v>
      </c>
      <c r="F6" s="2" t="s">
        <v>9</v>
      </c>
    </row>
    <row r="7" ht="38" customHeight="1" spans="1:6">
      <c r="A7" s="6">
        <v>6</v>
      </c>
      <c r="B7" s="6">
        <v>2023</v>
      </c>
      <c r="C7" s="3" t="s">
        <v>10</v>
      </c>
      <c r="D7" s="3" t="s">
        <v>11</v>
      </c>
      <c r="E7" s="4">
        <v>0.66646</v>
      </c>
      <c r="F7" s="2" t="s">
        <v>8</v>
      </c>
    </row>
    <row r="8" ht="38" customHeight="1" spans="1:6">
      <c r="A8" s="6">
        <v>7</v>
      </c>
      <c r="B8" s="6">
        <v>2023</v>
      </c>
      <c r="C8" s="3" t="s">
        <v>10</v>
      </c>
      <c r="D8" s="3" t="s">
        <v>11</v>
      </c>
      <c r="E8" s="4">
        <v>0.89939</v>
      </c>
      <c r="F8" s="2" t="s">
        <v>9</v>
      </c>
    </row>
    <row r="9" ht="38" customHeight="1" spans="1:6">
      <c r="A9" s="6">
        <v>8</v>
      </c>
      <c r="B9" s="6">
        <v>2023</v>
      </c>
      <c r="C9" s="3" t="s">
        <v>10</v>
      </c>
      <c r="D9" s="3" t="s">
        <v>11</v>
      </c>
      <c r="E9" s="4">
        <v>1.03455</v>
      </c>
      <c r="F9" s="2" t="s">
        <v>9</v>
      </c>
    </row>
    <row r="10" ht="53" customHeight="1" spans="1:6">
      <c r="A10" s="6">
        <v>9</v>
      </c>
      <c r="B10" s="6">
        <v>2018</v>
      </c>
      <c r="C10" s="3" t="s">
        <v>12</v>
      </c>
      <c r="D10" s="3" t="s">
        <v>13</v>
      </c>
      <c r="E10" s="4">
        <v>0.544</v>
      </c>
      <c r="F10" s="2" t="s">
        <v>8</v>
      </c>
    </row>
    <row r="11" ht="53" customHeight="1" spans="1:6">
      <c r="A11" s="6">
        <v>10</v>
      </c>
      <c r="B11" s="6">
        <v>2018</v>
      </c>
      <c r="C11" s="3" t="s">
        <v>12</v>
      </c>
      <c r="D11" s="3" t="s">
        <v>13</v>
      </c>
      <c r="E11" s="4">
        <v>0.525</v>
      </c>
      <c r="F11" s="2" t="s">
        <v>9</v>
      </c>
    </row>
    <row r="12" ht="53" customHeight="1" spans="1:6">
      <c r="A12" s="6">
        <v>11</v>
      </c>
      <c r="B12" s="6">
        <v>2018</v>
      </c>
      <c r="C12" s="3" t="s">
        <v>12</v>
      </c>
      <c r="D12" s="3" t="s">
        <v>13</v>
      </c>
      <c r="E12" s="4">
        <v>0.572</v>
      </c>
      <c r="F12" s="2" t="s">
        <v>9</v>
      </c>
    </row>
    <row r="13" ht="38" customHeight="1" spans="1:6">
      <c r="A13" s="6">
        <v>12</v>
      </c>
      <c r="B13" s="6">
        <v>2023</v>
      </c>
      <c r="C13" s="3" t="s">
        <v>14</v>
      </c>
      <c r="D13" s="3" t="s">
        <v>15</v>
      </c>
      <c r="E13" s="4">
        <v>0.809592</v>
      </c>
      <c r="F13" s="2" t="s">
        <v>9</v>
      </c>
    </row>
    <row r="14" ht="38" customHeight="1" spans="1:6">
      <c r="A14" s="6">
        <v>13</v>
      </c>
      <c r="B14" s="6">
        <v>2023</v>
      </c>
      <c r="C14" s="3" t="s">
        <v>14</v>
      </c>
      <c r="D14" s="3" t="s">
        <v>15</v>
      </c>
      <c r="E14" s="4">
        <v>0.9638</v>
      </c>
      <c r="F14" s="2" t="s">
        <v>9</v>
      </c>
    </row>
    <row r="15" ht="28" customHeight="1" spans="1:6">
      <c r="A15" s="6">
        <v>14</v>
      </c>
      <c r="B15" s="6">
        <v>2023</v>
      </c>
      <c r="C15" s="3" t="s">
        <v>16</v>
      </c>
      <c r="D15" s="3" t="s">
        <v>17</v>
      </c>
      <c r="E15" s="4">
        <v>0.577736339828591</v>
      </c>
      <c r="F15" s="2" t="s">
        <v>8</v>
      </c>
    </row>
    <row r="16" ht="38" customHeight="1" spans="1:6">
      <c r="A16" s="6">
        <v>15</v>
      </c>
      <c r="B16" s="7" t="s">
        <v>18</v>
      </c>
      <c r="C16" s="2" t="s">
        <v>19</v>
      </c>
      <c r="D16" s="3" t="s">
        <v>20</v>
      </c>
      <c r="E16" s="4">
        <v>0.6246886505</v>
      </c>
      <c r="F16" s="2" t="s">
        <v>9</v>
      </c>
    </row>
    <row r="17" ht="38" customHeight="1" spans="1:6">
      <c r="A17" s="6">
        <v>16</v>
      </c>
      <c r="B17" s="7" t="s">
        <v>18</v>
      </c>
      <c r="C17" s="2" t="s">
        <v>19</v>
      </c>
      <c r="D17" s="3" t="s">
        <v>20</v>
      </c>
      <c r="E17" s="4">
        <v>0.9633752682</v>
      </c>
      <c r="F17" s="2" t="s">
        <v>9</v>
      </c>
    </row>
    <row r="18" ht="38" customHeight="1" spans="1:6">
      <c r="A18" s="6">
        <v>17</v>
      </c>
      <c r="B18" s="6">
        <v>2024</v>
      </c>
      <c r="C18" s="2" t="s">
        <v>21</v>
      </c>
      <c r="D18" s="3" t="s">
        <v>22</v>
      </c>
      <c r="E18" s="4">
        <v>1.0447592</v>
      </c>
      <c r="F18" s="2" t="s">
        <v>9</v>
      </c>
    </row>
    <row r="19" ht="38" customHeight="1" spans="1:6">
      <c r="A19" s="6">
        <v>18</v>
      </c>
      <c r="B19" s="6">
        <v>2022</v>
      </c>
      <c r="C19" s="3" t="s">
        <v>23</v>
      </c>
      <c r="D19" s="3" t="s">
        <v>24</v>
      </c>
      <c r="E19" s="4" t="s">
        <v>25</v>
      </c>
      <c r="F19" s="2" t="s">
        <v>9</v>
      </c>
    </row>
    <row r="20" ht="38" customHeight="1" spans="1:6">
      <c r="A20" s="6">
        <v>19</v>
      </c>
      <c r="B20" s="6">
        <v>2023</v>
      </c>
      <c r="C20" s="3" t="s">
        <v>14</v>
      </c>
      <c r="D20" s="3" t="s">
        <v>15</v>
      </c>
      <c r="E20" s="4">
        <v>0.5474384</v>
      </c>
      <c r="F20" s="2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6"/>
  <sheetViews>
    <sheetView workbookViewId="0">
      <selection activeCell="D4" sqref="D4"/>
    </sheetView>
  </sheetViews>
  <sheetFormatPr defaultColWidth="9" defaultRowHeight="13.85" outlineLevelRow="5"/>
  <cols>
    <col min="1" max="1" width="8" customWidth="1"/>
    <col min="2" max="2" width="34" customWidth="1"/>
    <col min="3" max="3" width="10" customWidth="1"/>
    <col min="4" max="4" width="41.7904761904762" customWidth="1"/>
    <col min="5" max="9" width="7" customWidth="1"/>
    <col min="10" max="10" width="11" customWidth="1"/>
    <col min="11" max="11" width="10" customWidth="1"/>
    <col min="12" max="12" width="11" customWidth="1"/>
    <col min="13" max="13" width="14" customWidth="1"/>
  </cols>
  <sheetData>
    <row r="1" ht="30" customHeight="1" spans="1:13">
      <c r="A1" s="1" t="s">
        <v>0</v>
      </c>
      <c r="B1" s="1" t="s">
        <v>2</v>
      </c>
      <c r="C1" s="1" t="s">
        <v>1</v>
      </c>
      <c r="D1" s="1" t="s">
        <v>4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</row>
    <row r="2" ht="32" customHeight="1" spans="1:13">
      <c r="A2" s="6">
        <v>1</v>
      </c>
      <c r="B2" s="3" t="s">
        <v>35</v>
      </c>
      <c r="C2" s="6">
        <v>2022</v>
      </c>
      <c r="D2" s="4">
        <v>0.788</v>
      </c>
      <c r="E2" s="6">
        <v>2</v>
      </c>
      <c r="F2" s="6">
        <v>2</v>
      </c>
      <c r="G2" s="6">
        <v>1</v>
      </c>
      <c r="H2" s="6">
        <v>1</v>
      </c>
      <c r="I2" s="6">
        <v>2</v>
      </c>
      <c r="J2" s="4">
        <f>AVERAGE(E2:I2)</f>
        <v>1.6</v>
      </c>
      <c r="K2" s="4">
        <f>(5-J2)/4</f>
        <v>0.85</v>
      </c>
      <c r="L2" s="4">
        <f>K2/SUM($K$2:$K$6)</f>
        <v>0.217948717948718</v>
      </c>
      <c r="M2" s="4">
        <f>L2*LN(D2)</f>
        <v>-0.0519278489116972</v>
      </c>
    </row>
    <row r="3" ht="32" customHeight="1" spans="1:13">
      <c r="A3" s="6">
        <v>6</v>
      </c>
      <c r="B3" s="3" t="s">
        <v>36</v>
      </c>
      <c r="C3" s="6">
        <v>2023</v>
      </c>
      <c r="D3" s="4">
        <v>0.66646</v>
      </c>
      <c r="E3" s="6">
        <v>1</v>
      </c>
      <c r="F3" s="6">
        <v>2</v>
      </c>
      <c r="G3" s="6">
        <v>1</v>
      </c>
      <c r="H3" s="6">
        <v>2</v>
      </c>
      <c r="I3" s="6">
        <v>2</v>
      </c>
      <c r="J3" s="4">
        <f>AVERAGE(E3:I3)</f>
        <v>1.6</v>
      </c>
      <c r="K3" s="4">
        <f>(5-J3)/4</f>
        <v>0.85</v>
      </c>
      <c r="L3" s="4">
        <f>K3/SUM($K$2:$K$6)</f>
        <v>0.217948717948718</v>
      </c>
      <c r="M3" s="4">
        <f>L3*LN(D3)</f>
        <v>-0.0884381750622775</v>
      </c>
    </row>
    <row r="4" ht="32" customHeight="1" spans="1:13">
      <c r="A4" s="6">
        <v>9</v>
      </c>
      <c r="B4" s="3" t="s">
        <v>12</v>
      </c>
      <c r="C4" s="6">
        <v>2018</v>
      </c>
      <c r="D4" s="4">
        <v>0.544</v>
      </c>
      <c r="E4" s="6">
        <v>3</v>
      </c>
      <c r="F4" s="6">
        <v>2</v>
      </c>
      <c r="G4" s="6">
        <v>1</v>
      </c>
      <c r="H4" s="6">
        <v>2</v>
      </c>
      <c r="I4" s="6">
        <v>3</v>
      </c>
      <c r="J4" s="4">
        <f>AVERAGE(E4:I4)</f>
        <v>2.2</v>
      </c>
      <c r="K4" s="4">
        <f>(5-J4)/4</f>
        <v>0.7</v>
      </c>
      <c r="L4" s="4">
        <f>K4/SUM($K$2:$K$6)</f>
        <v>0.179487179487179</v>
      </c>
      <c r="M4" s="4">
        <f>L4*LN(D4)</f>
        <v>-0.109272877561112</v>
      </c>
    </row>
    <row r="5" ht="32" customHeight="1" spans="1:13">
      <c r="A5" s="6">
        <v>14</v>
      </c>
      <c r="B5" s="3" t="s">
        <v>37</v>
      </c>
      <c r="C5" s="6">
        <v>2023</v>
      </c>
      <c r="D5" s="4">
        <v>0.577736339828591</v>
      </c>
      <c r="E5" s="6">
        <v>2</v>
      </c>
      <c r="F5" s="6">
        <v>3</v>
      </c>
      <c r="G5" s="6">
        <v>2</v>
      </c>
      <c r="H5" s="6">
        <v>1</v>
      </c>
      <c r="I5" s="6">
        <v>2</v>
      </c>
      <c r="J5" s="4">
        <f>AVERAGE(E5:I5)</f>
        <v>2</v>
      </c>
      <c r="K5" s="4">
        <f>(5-J5)/4</f>
        <v>0.75</v>
      </c>
      <c r="L5" s="4">
        <f>K5/SUM($K$2:$K$6)</f>
        <v>0.192307692307692</v>
      </c>
      <c r="M5" s="4">
        <f>L5*LN(D5)</f>
        <v>-0.105507244970816</v>
      </c>
    </row>
    <row r="6" ht="32" customHeight="1" spans="1:13">
      <c r="A6" s="6">
        <v>19</v>
      </c>
      <c r="B6" s="3" t="s">
        <v>14</v>
      </c>
      <c r="C6" s="6">
        <v>2023</v>
      </c>
      <c r="D6" s="4">
        <v>0.5474384</v>
      </c>
      <c r="E6" s="6">
        <v>1</v>
      </c>
      <c r="F6" s="6">
        <v>3</v>
      </c>
      <c r="G6" s="6">
        <v>2</v>
      </c>
      <c r="H6" s="6">
        <v>2</v>
      </c>
      <c r="I6" s="6">
        <v>2</v>
      </c>
      <c r="J6" s="4">
        <f>AVERAGE(E6:I6)</f>
        <v>2</v>
      </c>
      <c r="K6" s="4">
        <f>(5-J6)/4</f>
        <v>0.75</v>
      </c>
      <c r="L6" s="4">
        <f>K6/SUM($K$2:$K$6)</f>
        <v>0.192307692307692</v>
      </c>
      <c r="M6" s="4">
        <f>L6*LN(D6)</f>
        <v>-0.115866410584017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4"/>
  <sheetViews>
    <sheetView workbookViewId="0">
      <selection activeCell="A23" sqref="A23"/>
    </sheetView>
  </sheetViews>
  <sheetFormatPr defaultColWidth="9" defaultRowHeight="13.85" outlineLevelRow="3" outlineLevelCol="3"/>
  <cols>
    <col min="1" max="1" width="24" customWidth="1"/>
    <col min="2" max="2" width="10" customWidth="1"/>
    <col min="3" max="3" width="29" customWidth="1"/>
    <col min="4" max="4" width="14" customWidth="1"/>
  </cols>
  <sheetData>
    <row r="1" ht="30" customHeight="1" spans="1:4">
      <c r="A1" s="1" t="s">
        <v>38</v>
      </c>
      <c r="B1" s="1" t="s">
        <v>39</v>
      </c>
      <c r="C1" s="1" t="s">
        <v>40</v>
      </c>
      <c r="D1" s="1" t="s">
        <v>41</v>
      </c>
    </row>
    <row r="2" ht="30" customHeight="1" spans="1:4">
      <c r="A2" s="2" t="s">
        <v>42</v>
      </c>
      <c r="B2" s="3" t="s">
        <v>43</v>
      </c>
      <c r="C2" s="4">
        <f>EXP(SUM('02_评分与权重'!M2:M6))</f>
        <v>0.624369738095241</v>
      </c>
      <c r="D2" s="2" t="s">
        <v>44</v>
      </c>
    </row>
    <row r="3" ht="30" customHeight="1" spans="1:4">
      <c r="A3" s="2" t="s">
        <v>45</v>
      </c>
      <c r="B3" s="3" t="s">
        <v>46</v>
      </c>
      <c r="C3" s="4">
        <f>AVERAGE('02_评分与权重'!D2:D6)</f>
        <v>0.624726947965718</v>
      </c>
      <c r="D3" s="2" t="s">
        <v>47</v>
      </c>
    </row>
    <row r="4" ht="30" customHeight="1" spans="1:4">
      <c r="A4" s="2" t="s">
        <v>48</v>
      </c>
      <c r="B4" s="3" t="s">
        <v>49</v>
      </c>
      <c r="C4" s="4">
        <f>GEOMEAN('02_评分与权重'!D2:D6)</f>
        <v>0.618290864781983</v>
      </c>
      <c r="D4" s="2" t="s">
        <v>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01_数据来源</vt:lpstr>
      <vt:lpstr>02_评分与权重</vt:lpstr>
      <vt:lpstr>03_最终结果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朱易成</dc:creator>
  <cp:lastModifiedBy>朱易成</cp:lastModifiedBy>
  <dcterms:created xsi:type="dcterms:W3CDTF">2026-09-02T04:03:00Z</dcterms:created>
  <dcterms:modified xsi:type="dcterms:W3CDTF">2026-09-02T04:15:53Z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FE5E00B3D6634F399838FEDF0865E20C_12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