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8205"/>
  </bookViews>
  <sheets>
    <sheet name="01_数据来源与准入" sheetId="1" r:id="rId1"/>
    <sheet name="02_评分与权重" sheetId="2" r:id="rId2"/>
    <sheet name="03_最终结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<sst xmlns="http://schemas.openxmlformats.org/spreadsheetml/2006/main" count="139" uniqueCount="73">
  <si>
    <t>编号</t>
  </si>
  <si>
    <t>数据年份</t>
  </si>
  <si>
    <t>来源</t>
  </si>
  <si>
    <t>来源地址</t>
  </si>
  <si>
    <r>
      <t>归一化因子（kgCO</t>
    </r>
    <r>
      <rPr>
        <b/>
        <vertAlign val="subscript"/>
        <sz val="10"/>
        <color rgb="FF000000"/>
        <rFont val="Times New Roman"/>
        <charset val="134"/>
      </rPr>
      <t>2</t>
    </r>
    <r>
      <rPr>
        <b/>
        <sz val="10"/>
        <color rgb="FF000000"/>
        <rFont val="宋体"/>
        <charset val="134"/>
      </rPr>
      <t>e/cm</t>
    </r>
    <r>
      <rPr>
        <b/>
        <vertAlign val="superscript"/>
        <sz val="10"/>
        <color rgb="FF000000"/>
        <rFont val="宋体"/>
        <charset val="134"/>
      </rPr>
      <t>2</t>
    </r>
    <r>
      <rPr>
        <b/>
        <sz val="10"/>
        <color rgb="FF000000"/>
        <rFont val="宋体"/>
        <charset val="134"/>
      </rPr>
      <t xml:space="preserve"> physical epi-wafer）</t>
    </r>
  </si>
  <si>
    <t>准入等级</t>
  </si>
  <si>
    <t>是否纳入基准</t>
  </si>
  <si>
    <t>湖南三安半导体 / DQS</t>
  </si>
  <si>
    <t>https://stock.stockstar.com/notice/SN2026042500008711.shtml</t>
  </si>
  <si>
    <t>B</t>
  </si>
  <si>
    <t>是</t>
  </si>
  <si>
    <t>广东天域半导体</t>
  </si>
  <si>
    <t>https://www1.hkexnews.hk/listedco/listconews/sehk/2026/0427/2026042701813.pdf</t>
  </si>
  <si>
    <t>未提供</t>
  </si>
  <si>
    <t>D</t>
  </si>
  <si>
    <t>否</t>
  </si>
  <si>
    <t>天科合达（Tankeblue）</t>
  </si>
  <si>
    <t>https://www.eet-china.com/mp/a442063.html</t>
  </si>
  <si>
    <t>Wolfspeed</t>
  </si>
  <si>
    <t>https://assets.wolfspeed.com/uploads/2025/08/Wolfspeed_2024_CDP_Climate_Change_Water_Security.pdf</t>
  </si>
  <si>
    <t>Kieu et al., Canadian Journal of Chemical Engineering</t>
  </si>
  <si>
    <t>https://onlinelibrary.wiley.com/doi/10.1002/cjce.70125</t>
  </si>
  <si>
    <t>Daigo et al., IEEE TSM</t>
  </si>
  <si>
    <t>https://www.researchgate.net/publication/353999234_Influence_and_Suppression_of_Harmful_Effects_Due_to_By-Product_in_CVD_Reactor_for_4H-SiC_Epitaxy</t>
  </si>
  <si>
    <t>Stefano Leone 博士论文</t>
  </si>
  <si>
    <t>https://www.diva-portal.org/smash/get/diva2%3A355761/FULLTEXT01.pdf</t>
  </si>
  <si>
    <t>Guo et al., RSC Advances</t>
  </si>
  <si>
    <t>https://pubs.rsc.org/en/content/articlelanding/2024/ra/d4ra02563f</t>
  </si>
  <si>
    <t>Influence of Growth Process… (Micromachines)</t>
  </si>
  <si>
    <t>https://www.mdpi.com/2072-666X/15/6/665</t>
  </si>
  <si>
    <t>SiC multi-wafer VPE reactor, Journal of Crystal Growth</t>
  </si>
  <si>
    <t>https://www.sciencedirect.com/science/article/pii/S0022024899000615</t>
  </si>
  <si>
    <t>Life Cycle Assessment of Epitaxy of GaN-on-SiC HEMTs</t>
  </si>
  <si>
    <t>https://www.mdpi.com/2673-4591/127/1/2</t>
  </si>
  <si>
    <t>E</t>
  </si>
  <si>
    <t>Fujibayashi et al., Applied Physics Express / CRIEPI-DENSO-NuFlare-Toyota</t>
  </si>
  <si>
    <t>https://www.researchgate.net/publication/274002741_Development_of_a_150_mm_4H-SiC_epitaxial_reactor_with_high-speed_wafer_rotation</t>
  </si>
  <si>
    <t>未注明</t>
  </si>
  <si>
    <t>AIXTRON G5 WW C / 二手设备审计 + 官方brochure</t>
  </si>
  <si>
    <t>https://www.macquarie.com/au/en/about/company/commodities-and-global-markets/specialised-and-asset-finance/semiconductor-and-technology/inventory/semiconductor-fabrication/epitaxial-silicon--epi-/230808.html</t>
  </si>
  <si>
    <t>REEL LCI Database v0.1 / Jonathan Balsvik</t>
  </si>
  <si>
    <t>https://reellci.com/REEL%20LCI%20Methodology%20Report%20v0.1.pdf</t>
  </si>
  <si>
    <t>AIXTRON VP508GFR / Electrum Laboratory LIMS</t>
  </si>
  <si>
    <t>https://lims.electrumlab.se/WebForms/Equipment/EquipmentView.aspx?toolId=186</t>
  </si>
  <si>
    <t>瀚天天成 Epiworld International</t>
  </si>
  <si>
    <t>https://www.hkexnews.hk/listedco/listconews/sehk/2026/0320/2026032000030_c.pdf</t>
  </si>
  <si>
    <t>Nicolò Piluso / STMicroelectronics</t>
  </si>
  <si>
    <t>https://compoundsemiconductor.net/article/106637/Refining_SiC_Epi-growth_For_High-volume_Production/feature</t>
  </si>
  <si>
    <t>来源族</t>
  </si>
  <si>
    <t>R</t>
  </si>
  <si>
    <t>C</t>
  </si>
  <si>
    <t>Te</t>
  </si>
  <si>
    <t>G</t>
  </si>
  <si>
    <t>T</t>
  </si>
  <si>
    <t>DQR</t>
  </si>
  <si>
    <t>Q</t>
  </si>
  <si>
    <t>n_f</t>
  </si>
  <si>
    <t>d</t>
  </si>
  <si>
    <t>w</t>
  </si>
  <si>
    <t>W</t>
  </si>
  <si>
    <t>w·ln(e)</t>
  </si>
  <si>
    <t>Hunan Sanan 2025 DQS ISO14067</t>
  </si>
  <si>
    <t>方法</t>
  </si>
  <si>
    <t>符号</t>
  </si>
  <si>
    <t>用途</t>
  </si>
  <si>
    <t>质量加权几何均值</t>
  </si>
  <si>
    <t>QWGM</t>
  </si>
  <si>
    <t>基准值</t>
  </si>
  <si>
    <t>等权算术均值</t>
  </si>
  <si>
    <t>AM</t>
  </si>
  <si>
    <t>对照值</t>
  </si>
  <si>
    <t>等权几何均值</t>
  </si>
  <si>
    <t>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</si>
</sst>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8">
    <font>
      <sz val="11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b/>
      <vertAlign val="subscript"/>
      <sz val="10"/>
      <color rgb="FF000000"/>
      <name val="Times New Roman"/>
      <charset val="134"/>
    </font>
    <font>
      <b/>
      <vertAlign val="superscript"/>
      <sz val="10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00"/>
  <sheetViews>
    <sheetView tabSelected="1" workbookViewId="0">
      <selection activeCell="D8" sqref="D8"/>
    </sheetView>
  </sheetViews>
  <sheetFormatPr defaultColWidth="9" defaultRowHeight="13.5" outlineLevelCol="6"/>
  <cols>
    <col min="1" max="1" width="8" customWidth="1"/>
    <col min="2" max="2" width="12" customWidth="1"/>
    <col min="3" max="3" width="36" customWidth="1"/>
    <col min="4" max="4" width="56" customWidth="1"/>
    <col min="5" max="5" width="25" customWidth="1"/>
    <col min="6" max="6" width="10" customWidth="1"/>
    <col min="7" max="7" width="12" customWidth="1"/>
  </cols>
  <sheetData>
    <row r="1" ht="28.9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</v>
      </c>
      <c r="B2" s="3">
        <v>2025</v>
      </c>
      <c r="C2" s="2" t="s">
        <v>7</v>
      </c>
      <c r="D2" s="3" t="s">
        <v>8</v>
      </c>
      <c r="E2" s="4">
        <v>0.561357168167681</v>
      </c>
      <c r="F2" s="3" t="s">
        <v>9</v>
      </c>
      <c r="G2" s="2" t="s">
        <v>10</v>
      </c>
    </row>
    <row r="3" ht="26.25" spans="1:7">
      <c r="A3" s="3">
        <v>2</v>
      </c>
      <c r="B3" s="3">
        <v>2024</v>
      </c>
      <c r="C3" s="2" t="s">
        <v>11</v>
      </c>
      <c r="D3" s="3" t="s">
        <v>12</v>
      </c>
      <c r="E3" s="8" t="s">
        <v>13</v>
      </c>
      <c r="F3" s="3" t="s">
        <v>14</v>
      </c>
      <c r="G3" s="2" t="s">
        <v>15</v>
      </c>
    </row>
    <row r="4" ht="26.25" spans="1:7">
      <c r="A4" s="3">
        <v>3</v>
      </c>
      <c r="B4" s="3">
        <v>2025</v>
      </c>
      <c r="C4" s="2" t="s">
        <v>11</v>
      </c>
      <c r="D4" s="3" t="s">
        <v>12</v>
      </c>
      <c r="E4" s="8" t="s">
        <v>13</v>
      </c>
      <c r="F4" s="3" t="s">
        <v>14</v>
      </c>
      <c r="G4" s="2" t="s">
        <v>15</v>
      </c>
    </row>
    <row r="5" spans="1:7">
      <c r="A5" s="3">
        <v>4</v>
      </c>
      <c r="B5" s="3">
        <v>2025</v>
      </c>
      <c r="C5" s="2" t="s">
        <v>16</v>
      </c>
      <c r="D5" s="3" t="s">
        <v>17</v>
      </c>
      <c r="E5" s="8" t="s">
        <v>13</v>
      </c>
      <c r="F5" s="3" t="s">
        <v>14</v>
      </c>
      <c r="G5" s="2" t="s">
        <v>15</v>
      </c>
    </row>
    <row r="6" ht="26.25" spans="1:7">
      <c r="A6" s="3">
        <v>5</v>
      </c>
      <c r="B6" s="3">
        <v>2024</v>
      </c>
      <c r="C6" s="3" t="s">
        <v>18</v>
      </c>
      <c r="D6" s="3" t="s">
        <v>19</v>
      </c>
      <c r="E6" s="8" t="s">
        <v>13</v>
      </c>
      <c r="F6" s="3" t="s">
        <v>14</v>
      </c>
      <c r="G6" s="2" t="s">
        <v>15</v>
      </c>
    </row>
    <row r="7" ht="26.25" spans="1:7">
      <c r="A7" s="3">
        <v>6</v>
      </c>
      <c r="B7" s="3">
        <v>2026</v>
      </c>
      <c r="C7" s="3" t="s">
        <v>20</v>
      </c>
      <c r="D7" s="3" t="s">
        <v>21</v>
      </c>
      <c r="E7" s="8" t="s">
        <v>13</v>
      </c>
      <c r="F7" s="3" t="s">
        <v>14</v>
      </c>
      <c r="G7" s="2" t="s">
        <v>15</v>
      </c>
    </row>
    <row r="8" ht="39.4" spans="1:7">
      <c r="A8" s="3">
        <v>7</v>
      </c>
      <c r="B8" s="3">
        <v>2021</v>
      </c>
      <c r="C8" s="3" t="s">
        <v>22</v>
      </c>
      <c r="D8" s="3" t="s">
        <v>23</v>
      </c>
      <c r="E8" s="8" t="s">
        <v>13</v>
      </c>
      <c r="F8" s="3" t="s">
        <v>14</v>
      </c>
      <c r="G8" s="2" t="s">
        <v>15</v>
      </c>
    </row>
    <row r="9" ht="26.25" spans="1:7">
      <c r="A9" s="3">
        <v>8</v>
      </c>
      <c r="B9" s="3">
        <v>2010</v>
      </c>
      <c r="C9" s="2" t="s">
        <v>24</v>
      </c>
      <c r="D9" s="3" t="s">
        <v>25</v>
      </c>
      <c r="E9" s="8" t="s">
        <v>13</v>
      </c>
      <c r="F9" s="3" t="s">
        <v>14</v>
      </c>
      <c r="G9" s="2" t="s">
        <v>15</v>
      </c>
    </row>
    <row r="10" spans="1:7">
      <c r="A10" s="3">
        <v>9</v>
      </c>
      <c r="B10" s="3">
        <v>2024</v>
      </c>
      <c r="C10" s="3" t="s">
        <v>26</v>
      </c>
      <c r="D10" s="3" t="s">
        <v>27</v>
      </c>
      <c r="E10" s="8" t="s">
        <v>13</v>
      </c>
      <c r="F10" s="3" t="s">
        <v>14</v>
      </c>
      <c r="G10" s="2" t="s">
        <v>15</v>
      </c>
    </row>
    <row r="11" spans="1:7">
      <c r="A11" s="3">
        <v>10</v>
      </c>
      <c r="B11" s="3">
        <v>2024</v>
      </c>
      <c r="C11" s="3" t="s">
        <v>28</v>
      </c>
      <c r="D11" s="3" t="s">
        <v>29</v>
      </c>
      <c r="E11" s="8" t="s">
        <v>13</v>
      </c>
      <c r="F11" s="3" t="s">
        <v>14</v>
      </c>
      <c r="G11" s="2" t="s">
        <v>15</v>
      </c>
    </row>
    <row r="12" ht="26.25" spans="1:7">
      <c r="A12" s="3">
        <v>11</v>
      </c>
      <c r="B12" s="3">
        <v>1999</v>
      </c>
      <c r="C12" s="3" t="s">
        <v>30</v>
      </c>
      <c r="D12" s="3" t="s">
        <v>31</v>
      </c>
      <c r="E12" s="8" t="s">
        <v>13</v>
      </c>
      <c r="F12" s="3" t="s">
        <v>14</v>
      </c>
      <c r="G12" s="2" t="s">
        <v>15</v>
      </c>
    </row>
    <row r="13" ht="26.25" spans="1:7">
      <c r="A13" s="9">
        <v>12</v>
      </c>
      <c r="B13" s="9">
        <v>2026</v>
      </c>
      <c r="C13" s="9" t="s">
        <v>32</v>
      </c>
      <c r="D13" s="9" t="s">
        <v>33</v>
      </c>
      <c r="E13" s="10">
        <v>0.65</v>
      </c>
      <c r="F13" s="9" t="s">
        <v>34</v>
      </c>
      <c r="G13" s="11" t="s">
        <v>15</v>
      </c>
    </row>
    <row r="14" ht="26.25" spans="1:7">
      <c r="A14" s="9">
        <v>13</v>
      </c>
      <c r="B14" s="9">
        <v>2014</v>
      </c>
      <c r="C14" s="9" t="s">
        <v>35</v>
      </c>
      <c r="D14" s="9" t="s">
        <v>36</v>
      </c>
      <c r="E14" s="12" t="s">
        <v>13</v>
      </c>
      <c r="F14" s="9" t="s">
        <v>14</v>
      </c>
      <c r="G14" s="11" t="s">
        <v>15</v>
      </c>
    </row>
    <row r="15" ht="52.5" spans="1:7">
      <c r="A15" s="9">
        <v>14</v>
      </c>
      <c r="B15" s="11" t="s">
        <v>37</v>
      </c>
      <c r="C15" s="11" t="s">
        <v>38</v>
      </c>
      <c r="D15" s="9" t="s">
        <v>39</v>
      </c>
      <c r="E15" s="12" t="s">
        <v>13</v>
      </c>
      <c r="F15" s="9" t="s">
        <v>14</v>
      </c>
      <c r="G15" s="11" t="s">
        <v>15</v>
      </c>
    </row>
    <row r="16" spans="1:7">
      <c r="A16" s="9">
        <v>15</v>
      </c>
      <c r="B16" s="9">
        <v>2026</v>
      </c>
      <c r="C16" s="9" t="s">
        <v>40</v>
      </c>
      <c r="D16" s="9" t="s">
        <v>41</v>
      </c>
      <c r="E16" s="12" t="s">
        <v>13</v>
      </c>
      <c r="F16" s="9" t="s">
        <v>14</v>
      </c>
      <c r="G16" s="11" t="s">
        <v>15</v>
      </c>
    </row>
    <row r="17" ht="26.25" spans="1:7">
      <c r="A17" s="9">
        <v>16</v>
      </c>
      <c r="B17" s="11" t="s">
        <v>37</v>
      </c>
      <c r="C17" s="9" t="s">
        <v>42</v>
      </c>
      <c r="D17" s="9" t="s">
        <v>43</v>
      </c>
      <c r="E17" s="12" t="s">
        <v>13</v>
      </c>
      <c r="F17" s="9" t="s">
        <v>14</v>
      </c>
      <c r="G17" s="11" t="s">
        <v>15</v>
      </c>
    </row>
    <row r="18" ht="26.25" spans="1:7">
      <c r="A18" s="9">
        <v>17</v>
      </c>
      <c r="B18" s="9">
        <v>2022</v>
      </c>
      <c r="C18" s="11" t="s">
        <v>44</v>
      </c>
      <c r="D18" s="9" t="s">
        <v>45</v>
      </c>
      <c r="E18" s="12" t="s">
        <v>13</v>
      </c>
      <c r="F18" s="9" t="s">
        <v>14</v>
      </c>
      <c r="G18" s="11" t="s">
        <v>15</v>
      </c>
    </row>
    <row r="19" ht="26.25" spans="1:7">
      <c r="A19" s="9">
        <v>18</v>
      </c>
      <c r="B19" s="9">
        <v>2023</v>
      </c>
      <c r="C19" s="11" t="s">
        <v>44</v>
      </c>
      <c r="D19" s="9" t="s">
        <v>45</v>
      </c>
      <c r="E19" s="12" t="s">
        <v>13</v>
      </c>
      <c r="F19" s="9" t="s">
        <v>14</v>
      </c>
      <c r="G19" s="11" t="s">
        <v>15</v>
      </c>
    </row>
    <row r="20" ht="26.25" spans="1:7">
      <c r="A20" s="9">
        <v>19</v>
      </c>
      <c r="B20" s="9">
        <v>2024</v>
      </c>
      <c r="C20" s="11" t="s">
        <v>44</v>
      </c>
      <c r="D20" s="9" t="s">
        <v>45</v>
      </c>
      <c r="E20" s="12" t="s">
        <v>13</v>
      </c>
      <c r="F20" s="9" t="s">
        <v>14</v>
      </c>
      <c r="G20" s="11" t="s">
        <v>15</v>
      </c>
    </row>
    <row r="21" ht="26.25" spans="1:7">
      <c r="A21" s="9">
        <v>20</v>
      </c>
      <c r="B21" s="9">
        <v>2019</v>
      </c>
      <c r="C21" s="9" t="s">
        <v>46</v>
      </c>
      <c r="D21" s="9" t="s">
        <v>47</v>
      </c>
      <c r="E21" s="12" t="s">
        <v>13</v>
      </c>
      <c r="F21" s="9" t="s">
        <v>14</v>
      </c>
      <c r="G21" s="11" t="s">
        <v>15</v>
      </c>
    </row>
    <row r="22" spans="1:7">
      <c r="A22" s="5"/>
      <c r="B22" s="5"/>
      <c r="C22" s="5"/>
      <c r="D22" s="5"/>
      <c r="E22" s="5"/>
      <c r="F22" s="5"/>
      <c r="G22" s="5"/>
    </row>
    <row r="23" spans="1:7">
      <c r="A23" s="5"/>
      <c r="B23" s="5"/>
      <c r="C23" s="5"/>
      <c r="D23" s="5"/>
      <c r="E23" s="5"/>
      <c r="F23" s="5"/>
      <c r="G23" s="5"/>
    </row>
    <row r="24" spans="1:7">
      <c r="A24" s="5"/>
      <c r="B24" s="5"/>
      <c r="C24" s="5"/>
      <c r="D24" s="5"/>
      <c r="E24" s="5"/>
      <c r="F24" s="5"/>
      <c r="G24" s="5"/>
    </row>
    <row r="25" spans="1:7">
      <c r="A25" s="5"/>
      <c r="B25" s="5"/>
      <c r="C25" s="5"/>
      <c r="D25" s="5"/>
      <c r="E25" s="5"/>
      <c r="F25" s="5"/>
      <c r="G25" s="5"/>
    </row>
    <row r="26" spans="1:7">
      <c r="A26" s="5"/>
      <c r="B26" s="5"/>
      <c r="C26" s="5"/>
      <c r="D26" s="5"/>
      <c r="E26" s="5"/>
      <c r="F26" s="5"/>
      <c r="G26" s="5"/>
    </row>
    <row r="27" spans="1:7">
      <c r="A27" s="5"/>
      <c r="B27" s="5"/>
      <c r="C27" s="5"/>
      <c r="D27" s="5"/>
      <c r="E27" s="5"/>
      <c r="F27" s="5"/>
      <c r="G27" s="5"/>
    </row>
    <row r="28" spans="1:7">
      <c r="A28" s="5"/>
      <c r="B28" s="5"/>
      <c r="C28" s="5"/>
      <c r="D28" s="5"/>
      <c r="E28" s="5"/>
      <c r="F28" s="5"/>
      <c r="G28" s="5"/>
    </row>
    <row r="29" spans="1:7">
      <c r="A29" s="5"/>
      <c r="B29" s="5"/>
      <c r="C29" s="5"/>
      <c r="D29" s="5"/>
      <c r="E29" s="5"/>
      <c r="F29" s="5"/>
      <c r="G29" s="5"/>
    </row>
    <row r="30" spans="1:7">
      <c r="A30" s="5"/>
      <c r="B30" s="5"/>
      <c r="C30" s="5"/>
      <c r="D30" s="5"/>
      <c r="E30" s="5"/>
      <c r="F30" s="5"/>
      <c r="G30" s="5"/>
    </row>
    <row r="31" spans="1:7">
      <c r="A31" s="5"/>
      <c r="B31" s="5"/>
      <c r="C31" s="5"/>
      <c r="D31" s="5"/>
      <c r="E31" s="5"/>
      <c r="F31" s="5"/>
      <c r="G31" s="5"/>
    </row>
    <row r="32" spans="1:7">
      <c r="A32" s="5"/>
      <c r="B32" s="5"/>
      <c r="C32" s="5"/>
      <c r="D32" s="5"/>
      <c r="E32" s="5"/>
      <c r="F32" s="5"/>
      <c r="G32" s="5"/>
    </row>
    <row r="33" spans="1:7">
      <c r="A33" s="5"/>
      <c r="B33" s="5"/>
      <c r="C33" s="5"/>
      <c r="D33" s="5"/>
      <c r="E33" s="5"/>
      <c r="F33" s="5"/>
      <c r="G33" s="5"/>
    </row>
    <row r="34" spans="1:7">
      <c r="A34" s="5"/>
      <c r="B34" s="5"/>
      <c r="C34" s="5"/>
      <c r="D34" s="5"/>
      <c r="E34" s="5"/>
      <c r="F34" s="5"/>
      <c r="G34" s="5"/>
    </row>
    <row r="35" spans="1:7">
      <c r="A35" s="5"/>
      <c r="B35" s="5"/>
      <c r="C35" s="5"/>
      <c r="D35" s="5"/>
      <c r="E35" s="5"/>
      <c r="F35" s="5"/>
      <c r="G35" s="5"/>
    </row>
    <row r="36" spans="1:7">
      <c r="A36" s="5"/>
      <c r="B36" s="5"/>
      <c r="C36" s="5"/>
      <c r="D36" s="5"/>
      <c r="E36" s="5"/>
      <c r="F36" s="5"/>
      <c r="G36" s="5"/>
    </row>
    <row r="37" spans="1:7">
      <c r="A37" s="5"/>
      <c r="B37" s="5"/>
      <c r="C37" s="5"/>
      <c r="D37" s="5"/>
      <c r="E37" s="5"/>
      <c r="F37" s="5"/>
      <c r="G37" s="5"/>
    </row>
    <row r="38" spans="1:7">
      <c r="A38" s="5"/>
      <c r="B38" s="5"/>
      <c r="C38" s="5"/>
      <c r="D38" s="5"/>
      <c r="E38" s="5"/>
      <c r="F38" s="5"/>
      <c r="G38" s="5"/>
    </row>
    <row r="39" spans="1:7">
      <c r="A39" s="5"/>
      <c r="B39" s="5"/>
      <c r="C39" s="5"/>
      <c r="D39" s="5"/>
      <c r="E39" s="5"/>
      <c r="F39" s="5"/>
      <c r="G39" s="5"/>
    </row>
    <row r="40" spans="1:7">
      <c r="A40" s="5"/>
      <c r="B40" s="5"/>
      <c r="C40" s="5"/>
      <c r="D40" s="5"/>
      <c r="E40" s="5"/>
      <c r="F40" s="5"/>
      <c r="G40" s="5"/>
    </row>
    <row r="41" spans="1:7">
      <c r="A41" s="5"/>
      <c r="B41" s="5"/>
      <c r="C41" s="5"/>
      <c r="D41" s="5"/>
      <c r="E41" s="5"/>
      <c r="F41" s="5"/>
      <c r="G41" s="5"/>
    </row>
    <row r="42" spans="1:7">
      <c r="A42" s="5"/>
      <c r="B42" s="5"/>
      <c r="C42" s="5"/>
      <c r="D42" s="5"/>
      <c r="E42" s="5"/>
      <c r="F42" s="5"/>
      <c r="G42" s="5"/>
    </row>
    <row r="43" spans="1:7">
      <c r="A43" s="5"/>
      <c r="B43" s="5"/>
      <c r="C43" s="5"/>
      <c r="D43" s="5"/>
      <c r="E43" s="5"/>
      <c r="F43" s="5"/>
      <c r="G43" s="5"/>
    </row>
    <row r="44" spans="1:7">
      <c r="A44" s="5"/>
      <c r="B44" s="5"/>
      <c r="C44" s="5"/>
      <c r="D44" s="5"/>
      <c r="E44" s="5"/>
      <c r="F44" s="5"/>
      <c r="G44" s="5"/>
    </row>
    <row r="45" spans="1:7">
      <c r="A45" s="5"/>
      <c r="B45" s="5"/>
      <c r="C45" s="5"/>
      <c r="D45" s="5"/>
      <c r="E45" s="5"/>
      <c r="F45" s="5"/>
      <c r="G45" s="5"/>
    </row>
    <row r="46" spans="1:7">
      <c r="A46" s="5"/>
      <c r="B46" s="5"/>
      <c r="C46" s="5"/>
      <c r="D46" s="5"/>
      <c r="E46" s="5"/>
      <c r="F46" s="5"/>
      <c r="G46" s="5"/>
    </row>
    <row r="47" spans="1:7">
      <c r="A47" s="5"/>
      <c r="B47" s="5"/>
      <c r="C47" s="5"/>
      <c r="D47" s="5"/>
      <c r="E47" s="5"/>
      <c r="F47" s="5"/>
      <c r="G47" s="5"/>
    </row>
    <row r="48" spans="1:7">
      <c r="A48" s="5"/>
      <c r="B48" s="5"/>
      <c r="C48" s="5"/>
      <c r="D48" s="5"/>
      <c r="E48" s="5"/>
      <c r="F48" s="5"/>
      <c r="G48" s="5"/>
    </row>
    <row r="49" spans="1:7">
      <c r="A49" s="5"/>
      <c r="B49" s="5"/>
      <c r="C49" s="5"/>
      <c r="D49" s="5"/>
      <c r="E49" s="5"/>
      <c r="F49" s="5"/>
      <c r="G49" s="5"/>
    </row>
    <row r="50" spans="1:7">
      <c r="A50" s="5"/>
      <c r="B50" s="5"/>
      <c r="C50" s="5"/>
      <c r="D50" s="5"/>
      <c r="E50" s="5"/>
      <c r="F50" s="5"/>
      <c r="G50" s="5"/>
    </row>
    <row r="51" spans="1:7">
      <c r="A51" s="5"/>
      <c r="B51" s="5"/>
      <c r="C51" s="5"/>
      <c r="D51" s="5"/>
      <c r="E51" s="5"/>
      <c r="F51" s="5"/>
      <c r="G51" s="5"/>
    </row>
    <row r="52" spans="1:7">
      <c r="A52" s="5"/>
      <c r="B52" s="5"/>
      <c r="C52" s="5"/>
      <c r="D52" s="5"/>
      <c r="E52" s="5"/>
      <c r="F52" s="5"/>
      <c r="G52" s="5"/>
    </row>
    <row r="53" spans="1:7">
      <c r="A53" s="5"/>
      <c r="B53" s="5"/>
      <c r="C53" s="5"/>
      <c r="D53" s="5"/>
      <c r="E53" s="5"/>
      <c r="F53" s="5"/>
      <c r="G53" s="5"/>
    </row>
    <row r="54" spans="1:7">
      <c r="A54" s="5"/>
      <c r="B54" s="5"/>
      <c r="C54" s="5"/>
      <c r="D54" s="5"/>
      <c r="E54" s="5"/>
      <c r="F54" s="5"/>
      <c r="G54" s="5"/>
    </row>
    <row r="55" spans="1:7">
      <c r="A55" s="5"/>
      <c r="B55" s="5"/>
      <c r="C55" s="5"/>
      <c r="D55" s="5"/>
      <c r="E55" s="5"/>
      <c r="F55" s="5"/>
      <c r="G55" s="5"/>
    </row>
    <row r="56" spans="1:7">
      <c r="A56" s="5"/>
      <c r="B56" s="5"/>
      <c r="C56" s="5"/>
      <c r="D56" s="5"/>
      <c r="E56" s="5"/>
      <c r="F56" s="5"/>
      <c r="G56" s="5"/>
    </row>
    <row r="57" spans="1:7">
      <c r="A57" s="5"/>
      <c r="B57" s="5"/>
      <c r="C57" s="5"/>
      <c r="D57" s="5"/>
      <c r="E57" s="5"/>
      <c r="F57" s="5"/>
      <c r="G57" s="5"/>
    </row>
    <row r="58" spans="1:7">
      <c r="A58" s="5"/>
      <c r="B58" s="5"/>
      <c r="C58" s="5"/>
      <c r="D58" s="5"/>
      <c r="E58" s="5"/>
      <c r="F58" s="5"/>
      <c r="G58" s="5"/>
    </row>
    <row r="59" spans="1:7">
      <c r="A59" s="5"/>
      <c r="B59" s="5"/>
      <c r="C59" s="5"/>
      <c r="D59" s="5"/>
      <c r="E59" s="5"/>
      <c r="F59" s="5"/>
      <c r="G59" s="5"/>
    </row>
    <row r="60" spans="1:7">
      <c r="A60" s="5"/>
      <c r="B60" s="5"/>
      <c r="C60" s="5"/>
      <c r="D60" s="5"/>
      <c r="E60" s="5"/>
      <c r="F60" s="5"/>
      <c r="G60" s="5"/>
    </row>
    <row r="61" spans="1:7">
      <c r="A61" s="5"/>
      <c r="B61" s="5"/>
      <c r="C61" s="5"/>
      <c r="D61" s="5"/>
      <c r="E61" s="5"/>
      <c r="F61" s="5"/>
      <c r="G61" s="5"/>
    </row>
    <row r="62" spans="1:7">
      <c r="A62" s="5"/>
      <c r="B62" s="5"/>
      <c r="C62" s="5"/>
      <c r="D62" s="5"/>
      <c r="E62" s="5"/>
      <c r="F62" s="5"/>
      <c r="G62" s="5"/>
    </row>
    <row r="63" spans="1:7">
      <c r="A63" s="5"/>
      <c r="B63" s="5"/>
      <c r="C63" s="5"/>
      <c r="D63" s="5"/>
      <c r="E63" s="5"/>
      <c r="F63" s="5"/>
      <c r="G63" s="5"/>
    </row>
    <row r="64" spans="1:7">
      <c r="A64" s="5"/>
      <c r="B64" s="5"/>
      <c r="C64" s="5"/>
      <c r="D64" s="5"/>
      <c r="E64" s="5"/>
      <c r="F64" s="5"/>
      <c r="G64" s="5"/>
    </row>
    <row r="65" spans="1:7">
      <c r="A65" s="5"/>
      <c r="B65" s="5"/>
      <c r="C65" s="5"/>
      <c r="D65" s="5"/>
      <c r="E65" s="5"/>
      <c r="F65" s="5"/>
      <c r="G65" s="5"/>
    </row>
    <row r="66" spans="1:7">
      <c r="A66" s="5"/>
      <c r="B66" s="5"/>
      <c r="C66" s="5"/>
      <c r="D66" s="5"/>
      <c r="E66" s="5"/>
      <c r="F66" s="5"/>
      <c r="G66" s="5"/>
    </row>
    <row r="67" spans="1:7">
      <c r="A67" s="5"/>
      <c r="B67" s="5"/>
      <c r="C67" s="5"/>
      <c r="D67" s="5"/>
      <c r="E67" s="5"/>
      <c r="F67" s="5"/>
      <c r="G67" s="5"/>
    </row>
    <row r="68" spans="1:7">
      <c r="A68" s="5"/>
      <c r="B68" s="5"/>
      <c r="C68" s="5"/>
      <c r="D68" s="5"/>
      <c r="E68" s="5"/>
      <c r="F68" s="5"/>
      <c r="G68" s="5"/>
    </row>
    <row r="69" spans="1:7">
      <c r="A69" s="5"/>
      <c r="B69" s="5"/>
      <c r="C69" s="5"/>
      <c r="D69" s="5"/>
      <c r="E69" s="5"/>
      <c r="F69" s="5"/>
      <c r="G69" s="5"/>
    </row>
    <row r="70" spans="1:7">
      <c r="A70" s="5"/>
      <c r="B70" s="5"/>
      <c r="C70" s="5"/>
      <c r="D70" s="5"/>
      <c r="E70" s="5"/>
      <c r="F70" s="5"/>
      <c r="G70" s="5"/>
    </row>
    <row r="71" spans="1:7">
      <c r="A71" s="5"/>
      <c r="B71" s="5"/>
      <c r="C71" s="5"/>
      <c r="D71" s="5"/>
      <c r="E71" s="5"/>
      <c r="F71" s="5"/>
      <c r="G71" s="5"/>
    </row>
    <row r="72" spans="1:7">
      <c r="A72" s="5"/>
      <c r="B72" s="5"/>
      <c r="C72" s="5"/>
      <c r="D72" s="5"/>
      <c r="E72" s="5"/>
      <c r="F72" s="5"/>
      <c r="G72" s="5"/>
    </row>
    <row r="73" spans="1:7">
      <c r="A73" s="5"/>
      <c r="B73" s="5"/>
      <c r="C73" s="5"/>
      <c r="D73" s="5"/>
      <c r="E73" s="5"/>
      <c r="F73" s="5"/>
      <c r="G73" s="5"/>
    </row>
    <row r="74" spans="1:7">
      <c r="A74" s="5"/>
      <c r="B74" s="5"/>
      <c r="C74" s="5"/>
      <c r="D74" s="5"/>
      <c r="E74" s="5"/>
      <c r="F74" s="5"/>
      <c r="G74" s="5"/>
    </row>
    <row r="75" spans="1:7">
      <c r="A75" s="5"/>
      <c r="B75" s="5"/>
      <c r="C75" s="5"/>
      <c r="D75" s="5"/>
      <c r="E75" s="5"/>
      <c r="F75" s="5"/>
      <c r="G75" s="5"/>
    </row>
    <row r="76" spans="1:7">
      <c r="A76" s="5"/>
      <c r="B76" s="5"/>
      <c r="C76" s="5"/>
      <c r="D76" s="5"/>
      <c r="E76" s="5"/>
      <c r="F76" s="5"/>
      <c r="G76" s="5"/>
    </row>
    <row r="77" spans="1:7">
      <c r="A77" s="5"/>
      <c r="B77" s="5"/>
      <c r="C77" s="5"/>
      <c r="D77" s="5"/>
      <c r="E77" s="5"/>
      <c r="F77" s="5"/>
      <c r="G77" s="5"/>
    </row>
    <row r="78" spans="1:7">
      <c r="A78" s="5"/>
      <c r="B78" s="5"/>
      <c r="C78" s="5"/>
      <c r="D78" s="5"/>
      <c r="E78" s="5"/>
      <c r="F78" s="5"/>
      <c r="G78" s="5"/>
    </row>
    <row r="79" spans="1:7">
      <c r="A79" s="5"/>
      <c r="B79" s="5"/>
      <c r="C79" s="5"/>
      <c r="D79" s="5"/>
      <c r="E79" s="5"/>
      <c r="F79" s="5"/>
      <c r="G79" s="5"/>
    </row>
    <row r="80" spans="1:7">
      <c r="A80" s="5"/>
      <c r="B80" s="5"/>
      <c r="C80" s="5"/>
      <c r="D80" s="5"/>
      <c r="E80" s="5"/>
      <c r="F80" s="5"/>
      <c r="G80" s="5"/>
    </row>
    <row r="81" spans="1:7">
      <c r="A81" s="5"/>
      <c r="B81" s="5"/>
      <c r="C81" s="5"/>
      <c r="D81" s="5"/>
      <c r="E81" s="5"/>
      <c r="F81" s="5"/>
      <c r="G81" s="5"/>
    </row>
    <row r="82" spans="1:7">
      <c r="A82" s="5"/>
      <c r="B82" s="5"/>
      <c r="C82" s="5"/>
      <c r="D82" s="5"/>
      <c r="E82" s="5"/>
      <c r="F82" s="5"/>
      <c r="G82" s="5"/>
    </row>
    <row r="83" spans="1:7">
      <c r="A83" s="5"/>
      <c r="B83" s="5"/>
      <c r="C83" s="5"/>
      <c r="D83" s="5"/>
      <c r="E83" s="5"/>
      <c r="F83" s="5"/>
      <c r="G83" s="5"/>
    </row>
    <row r="84" spans="1:7">
      <c r="A84" s="5"/>
      <c r="B84" s="5"/>
      <c r="C84" s="5"/>
      <c r="D84" s="5"/>
      <c r="E84" s="5"/>
      <c r="F84" s="5"/>
      <c r="G84" s="5"/>
    </row>
    <row r="85" spans="1:7">
      <c r="A85" s="5"/>
      <c r="B85" s="5"/>
      <c r="C85" s="5"/>
      <c r="D85" s="5"/>
      <c r="E85" s="5"/>
      <c r="F85" s="5"/>
      <c r="G85" s="5"/>
    </row>
    <row r="86" spans="1:7">
      <c r="A86" s="5"/>
      <c r="B86" s="5"/>
      <c r="C86" s="5"/>
      <c r="D86" s="5"/>
      <c r="E86" s="5"/>
      <c r="F86" s="5"/>
      <c r="G86" s="5"/>
    </row>
    <row r="87" spans="1:7">
      <c r="A87" s="5"/>
      <c r="B87" s="5"/>
      <c r="C87" s="5"/>
      <c r="D87" s="5"/>
      <c r="E87" s="5"/>
      <c r="F87" s="5"/>
      <c r="G87" s="5"/>
    </row>
    <row r="88" spans="1:7">
      <c r="A88" s="5"/>
      <c r="B88" s="5"/>
      <c r="C88" s="5"/>
      <c r="D88" s="5"/>
      <c r="E88" s="5"/>
      <c r="F88" s="5"/>
      <c r="G88" s="5"/>
    </row>
    <row r="89" spans="1:7">
      <c r="A89" s="5"/>
      <c r="B89" s="5"/>
      <c r="C89" s="5"/>
      <c r="D89" s="5"/>
      <c r="E89" s="5"/>
      <c r="F89" s="5"/>
      <c r="G89" s="5"/>
    </row>
    <row r="90" spans="1:7">
      <c r="A90" s="5"/>
      <c r="B90" s="5"/>
      <c r="C90" s="5"/>
      <c r="D90" s="5"/>
      <c r="E90" s="5"/>
      <c r="F90" s="5"/>
      <c r="G90" s="5"/>
    </row>
    <row r="91" spans="1:7">
      <c r="A91" s="5"/>
      <c r="B91" s="5"/>
      <c r="C91" s="5"/>
      <c r="D91" s="5"/>
      <c r="E91" s="5"/>
      <c r="F91" s="5"/>
      <c r="G91" s="5"/>
    </row>
    <row r="92" spans="1:7">
      <c r="A92" s="5"/>
      <c r="B92" s="5"/>
      <c r="C92" s="5"/>
      <c r="D92" s="5"/>
      <c r="E92" s="5"/>
      <c r="F92" s="5"/>
      <c r="G92" s="5"/>
    </row>
    <row r="93" spans="1:7">
      <c r="A93" s="5"/>
      <c r="B93" s="5"/>
      <c r="C93" s="5"/>
      <c r="D93" s="5"/>
      <c r="E93" s="5"/>
      <c r="F93" s="5"/>
      <c r="G93" s="5"/>
    </row>
    <row r="94" spans="1:7">
      <c r="A94" s="5"/>
      <c r="B94" s="5"/>
      <c r="C94" s="5"/>
      <c r="D94" s="5"/>
      <c r="E94" s="5"/>
      <c r="F94" s="5"/>
      <c r="G94" s="5"/>
    </row>
    <row r="95" spans="1:7">
      <c r="A95" s="5"/>
      <c r="B95" s="5"/>
      <c r="C95" s="5"/>
      <c r="D95" s="5"/>
      <c r="E95" s="5"/>
      <c r="F95" s="5"/>
      <c r="G95" s="5"/>
    </row>
    <row r="96" spans="1:7">
      <c r="A96" s="5"/>
      <c r="B96" s="5"/>
      <c r="C96" s="5"/>
      <c r="D96" s="5"/>
      <c r="E96" s="5"/>
      <c r="F96" s="5"/>
      <c r="G96" s="5"/>
    </row>
    <row r="97" spans="1:7">
      <c r="A97" s="5"/>
      <c r="B97" s="5"/>
      <c r="C97" s="5"/>
      <c r="D97" s="5"/>
      <c r="E97" s="5"/>
      <c r="F97" s="5"/>
      <c r="G97" s="5"/>
    </row>
    <row r="98" spans="1:7">
      <c r="A98" s="5"/>
      <c r="B98" s="5"/>
      <c r="C98" s="5"/>
      <c r="D98" s="5"/>
      <c r="E98" s="5"/>
      <c r="F98" s="5"/>
      <c r="G98" s="5"/>
    </row>
    <row r="99" spans="1:7">
      <c r="A99" s="5"/>
      <c r="B99" s="5"/>
      <c r="C99" s="5"/>
      <c r="D99" s="5"/>
      <c r="E99" s="5"/>
      <c r="F99" s="5"/>
      <c r="G99" s="5"/>
    </row>
    <row r="100" spans="1:7">
      <c r="A100" s="5"/>
      <c r="B100" s="5"/>
      <c r="C100" s="5"/>
      <c r="D100" s="5"/>
      <c r="E100" s="5"/>
      <c r="F100" s="5"/>
      <c r="G100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91"/>
  <sheetViews>
    <sheetView workbookViewId="0">
      <selection activeCell="E1" sqref="E1"/>
    </sheetView>
  </sheetViews>
  <sheetFormatPr defaultColWidth="9" defaultRowHeight="13.5"/>
  <cols>
    <col min="1" max="1" width="8" customWidth="1"/>
    <col min="2" max="2" width="34" customWidth="1"/>
    <col min="3" max="3" width="12" customWidth="1"/>
    <col min="4" max="4" width="10" customWidth="1"/>
    <col min="5" max="5" width="25" customWidth="1"/>
    <col min="6" max="10" width="6" customWidth="1"/>
    <col min="11" max="13" width="9" customWidth="1"/>
    <col min="14" max="16" width="8" customWidth="1"/>
    <col min="17" max="17" width="12" customWidth="1"/>
  </cols>
  <sheetData>
    <row r="1" ht="42" customHeight="1" spans="1:17">
      <c r="A1" s="1" t="s">
        <v>0</v>
      </c>
      <c r="B1" s="1" t="s">
        <v>48</v>
      </c>
      <c r="C1" s="1" t="s">
        <v>1</v>
      </c>
      <c r="D1" s="1" t="s">
        <v>5</v>
      </c>
      <c r="E1" s="1" t="s">
        <v>4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54</v>
      </c>
      <c r="L1" s="6" t="s">
        <v>55</v>
      </c>
      <c r="M1" s="6" t="s">
        <v>56</v>
      </c>
      <c r="N1" s="6" t="s">
        <v>57</v>
      </c>
      <c r="O1" s="6" t="s">
        <v>58</v>
      </c>
      <c r="P1" s="6" t="s">
        <v>59</v>
      </c>
      <c r="Q1" s="6" t="s">
        <v>60</v>
      </c>
    </row>
    <row r="2" ht="28" customHeight="1" spans="1:17">
      <c r="A2" s="3">
        <v>1</v>
      </c>
      <c r="B2" s="3" t="s">
        <v>61</v>
      </c>
      <c r="C2" s="3">
        <v>2025</v>
      </c>
      <c r="D2" s="3" t="s">
        <v>9</v>
      </c>
      <c r="E2" s="4">
        <v>0.561357168167681</v>
      </c>
      <c r="F2" s="7">
        <v>1</v>
      </c>
      <c r="G2" s="7">
        <v>3</v>
      </c>
      <c r="H2" s="7">
        <v>1</v>
      </c>
      <c r="I2" s="7">
        <v>1</v>
      </c>
      <c r="J2" s="7">
        <v>2</v>
      </c>
      <c r="K2" s="4">
        <f>(F2+G2+H2+I2+J2)/5</f>
        <v>1.6</v>
      </c>
      <c r="L2" s="4">
        <f>(5-K2)/4</f>
        <v>0.85</v>
      </c>
      <c r="M2" s="7">
        <f>COUNTIF($B$2:$B$2,B2)</f>
        <v>1</v>
      </c>
      <c r="N2" s="4">
        <f>1/M2</f>
        <v>1</v>
      </c>
      <c r="O2" s="4">
        <f>L2*N2</f>
        <v>0.85</v>
      </c>
      <c r="P2" s="4">
        <f>O2/SUM($O$2:$O$2)</f>
        <v>1</v>
      </c>
      <c r="Q2" s="4">
        <f>O2*LN(E2)</f>
        <v>-0.490788225746636</v>
      </c>
    </row>
    <row r="3" spans="1:17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20"/>
  <sheetViews>
    <sheetView workbookViewId="0">
      <selection activeCell="C1" sqref="C1"/>
    </sheetView>
  </sheetViews>
  <sheetFormatPr defaultColWidth="9" defaultRowHeight="13.5" outlineLevelCol="3"/>
  <cols>
    <col min="1" max="1" width="22" customWidth="1"/>
    <col min="2" max="2" width="10" customWidth="1"/>
    <col min="3" max="3" width="25" customWidth="1"/>
    <col min="4" max="4" width="16" customWidth="1"/>
  </cols>
  <sheetData>
    <row r="1" ht="42" customHeight="1" spans="1:4">
      <c r="A1" s="1" t="s">
        <v>62</v>
      </c>
      <c r="B1" s="1" t="s">
        <v>63</v>
      </c>
      <c r="C1" s="1" t="s">
        <v>4</v>
      </c>
      <c r="D1" s="1" t="s">
        <v>64</v>
      </c>
    </row>
    <row r="2" ht="28" customHeight="1" spans="1:4">
      <c r="A2" s="2" t="s">
        <v>65</v>
      </c>
      <c r="B2" s="3" t="s">
        <v>66</v>
      </c>
      <c r="C2" s="4">
        <f>EXP(SUM('02_评分与权重'!Q2:Q2)/SUM('02_评分与权重'!O2:O2))</f>
        <v>0.561357168167681</v>
      </c>
      <c r="D2" s="2" t="s">
        <v>67</v>
      </c>
    </row>
    <row r="3" ht="28" customHeight="1" spans="1:4">
      <c r="A3" s="2" t="s">
        <v>68</v>
      </c>
      <c r="B3" s="3" t="s">
        <v>69</v>
      </c>
      <c r="C3" s="4">
        <f>AVERAGE('02_评分与权重'!E2:E2)</f>
        <v>0.561357168167681</v>
      </c>
      <c r="D3" s="2" t="s">
        <v>70</v>
      </c>
    </row>
    <row r="4" ht="28" customHeight="1" spans="1:4">
      <c r="A4" s="2" t="s">
        <v>71</v>
      </c>
      <c r="B4" s="3" t="s">
        <v>72</v>
      </c>
      <c r="C4" s="4">
        <f>GEOMEAN('02_评分与权重'!E2:E2)</f>
        <v>0.561357168167681</v>
      </c>
      <c r="D4" s="2" t="s">
        <v>70</v>
      </c>
    </row>
    <row r="5" spans="1:4">
      <c r="A5" s="5"/>
      <c r="B5" s="5"/>
      <c r="C5" s="5"/>
      <c r="D5" s="5"/>
    </row>
    <row r="6" spans="1:4">
      <c r="A6" s="5"/>
      <c r="B6" s="5"/>
      <c r="C6" s="5"/>
      <c r="D6" s="5"/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01_数据来源与准入</vt:lpstr>
      <vt:lpstr>02_评分与权重</vt:lpstr>
      <vt:lpstr>03_最终结果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朱易成</dc:creator>
  <cp:lastModifiedBy>朱易成</cp:lastModifiedBy>
  <dcterms:created xsi:type="dcterms:W3CDTF">2026-09-02T04:48:16Z</dcterms:created>
  <dcterms:modified xsi:type="dcterms:W3CDTF">2026-09-02T04:49:52Z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3026391FEB6A4F1292236B0E74C1B56B_12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