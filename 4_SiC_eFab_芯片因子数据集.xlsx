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 activeTab="2"/>
  </bookViews>
  <sheets>
    <sheet name="01_数据来源与准入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<sst xmlns="http://schemas.openxmlformats.org/spreadsheetml/2006/main" count="118" uniqueCount="57">
  <si>
    <t>编号</t>
  </si>
  <si>
    <t>数据年份</t>
  </si>
  <si>
    <t>来源</t>
  </si>
  <si>
    <t>来源地址</t>
  </si>
  <si>
    <r>
      <t>归一化因子（kgCO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SimSun"/>
        <charset val="134"/>
      </rPr>
      <t>e/cm</t>
    </r>
    <r>
      <rPr>
        <b/>
        <vertAlign val="superscript"/>
        <sz val="10"/>
        <color rgb="FF000000"/>
        <rFont val="SimSun"/>
        <charset val="134"/>
      </rPr>
      <t>2</t>
    </r>
    <r>
      <rPr>
        <b/>
        <sz val="10"/>
        <color rgb="FF000000"/>
        <rFont val="SimSun"/>
        <charset val="134"/>
      </rPr>
      <t xml:space="preserve"> physical wafer）</t>
    </r>
  </si>
  <si>
    <t>准入等级</t>
  </si>
  <si>
    <t>是否纳入基准</t>
  </si>
  <si>
    <t>Anchustegui Balner / Chalmers + ST Catania + Hunan Sanan/DQS</t>
  </si>
  <si>
    <t>https://research.chalmers.se/en/publication/552074;https://www.st.com/content/dam/aboutus/sustainability/reports/pdf/st-catania-emas-declaration-2023-it.pdf;https://stock.stockstar.com/notice/SN2026042500008711.shtml</t>
  </si>
  <si>
    <t>C</t>
  </si>
  <si>
    <t>是</t>
  </si>
  <si>
    <t>Infineon Austria</t>
  </si>
  <si>
    <t>https://www.infineon.com/assets/row/public/documents/regions/austria/2025-uwe-en-web.pdf</t>
  </si>
  <si>
    <t>未提供</t>
  </si>
  <si>
    <t>D</t>
  </si>
  <si>
    <t>否</t>
  </si>
  <si>
    <t>https://www.infineon.com/assets/row/public/documents/corporate/company/sustainability/austria-environmental-statement-2024-en.pdf</t>
  </si>
  <si>
    <t>STMicroelectronics</t>
  </si>
  <si>
    <t>https://www.st.com/content/dam/aboutus/sustainability/reports/pdf/st-catania-emas-declaration-2023-it.pdf</t>
  </si>
  <si>
    <t>Spejo et al.; Hitachi Energy fab data</t>
  </si>
  <si>
    <t>https://doi.org/10.1016/j.pedc.2023.100050</t>
  </si>
  <si>
    <t>Swiss Federal project / Hitachi Energy estimate</t>
  </si>
  <si>
    <t>https://www.aramis.admin.ch/Dokument.aspx?DocumentID=73995</t>
  </si>
  <si>
    <t>Warren et al.</t>
  </si>
  <si>
    <t>https://www.osti.gov/servlets/purl/1855705</t>
  </si>
  <si>
    <t>Umama Saleem, Aalto University</t>
  </si>
  <si>
    <t>https://aaltodoc.aalto.fi/bitstreams/cb7afbf1-30e6-4293-b57e-1c6bc1517f9a/download</t>
  </si>
  <si>
    <t>Musil et al. / Fronius</t>
  </si>
  <si>
    <t>https://doi.org/10.30420/566091368</t>
  </si>
  <si>
    <t>Huber et al. / ETH Zurich</t>
  </si>
  <si>
    <t>https://www.ams-publications.ee.ethz.ch/uploads/tx_ethpublications/14_CIPS_Huber_et_al_FINAL.pdf</t>
  </si>
  <si>
    <t>未注明</t>
  </si>
  <si>
    <t>https://www.st.com/content/st_com/en/about/sustainability/sustainable-technology/environmental-footprint-of-a-sic-mosfet.html</t>
  </si>
  <si>
    <t>来源族</t>
  </si>
  <si>
    <t>R</t>
  </si>
  <si>
    <t>Te</t>
  </si>
  <si>
    <t>G</t>
  </si>
  <si>
    <t>T</t>
  </si>
  <si>
    <t>DQR</t>
  </si>
  <si>
    <t>Q</t>
  </si>
  <si>
    <t>n_f</t>
  </si>
  <si>
    <t>d</t>
  </si>
  <si>
    <t>w</t>
  </si>
  <si>
    <t>W</t>
  </si>
  <si>
    <t>w·ln(e)</t>
  </si>
  <si>
    <t>Chalmers/ST Catania + Hunan Sanan/DQS constructed chain</t>
  </si>
  <si>
    <t>方法</t>
  </si>
  <si>
    <t>符号</t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</si>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</sst>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7">
    <font>
      <sz val="11"/>
      <name val="Carlito"/>
      <charset val="134"/>
    </font>
    <font>
      <b/>
      <sz val="10"/>
      <color rgb="FF000000"/>
      <name val="SimSun"/>
      <charset val="134"/>
    </font>
    <font>
      <sz val="10"/>
      <color rgb="FF000000"/>
      <name val="SimSun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1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vertAlign val="subscript"/>
      <sz val="10"/>
      <color rgb="FF000000"/>
      <name val="Times New Roman"/>
      <charset val="134"/>
    </font>
    <font>
      <b/>
      <vertAlign val="superscript"/>
      <sz val="10"/>
      <color rgb="FF00000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0" fontId="5" fillId="0" borderId="0" xfId="49" applyFont="1"/>
    <xf numFmtId="176" fontId="2" fillId="0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00"/>
  <sheetViews>
    <sheetView topLeftCell="C1" workbookViewId="0">
      <selection activeCell="E1" sqref="E1"/>
    </sheetView>
  </sheetViews>
  <sheetFormatPr defaultColWidth="9" defaultRowHeight="13.5" outlineLevelCol="6"/>
  <cols>
    <col min="1" max="1" width="8" customWidth="1"/>
    <col min="2" max="2" width="12" customWidth="1"/>
    <col min="3" max="3" width="42" customWidth="1"/>
    <col min="4" max="4" width="72" customWidth="1"/>
    <col min="5" max="5" width="28" customWidth="1"/>
    <col min="6" max="6" width="10" customWidth="1"/>
    <col min="7" max="7" width="12" customWidth="1"/>
  </cols>
  <sheetData>
    <row r="1" s="8" customFormat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6" customHeight="1" spans="1:7">
      <c r="A2" s="3">
        <v>1</v>
      </c>
      <c r="B2" s="3">
        <v>2022</v>
      </c>
      <c r="C2" s="3" t="s">
        <v>7</v>
      </c>
      <c r="D2" s="3" t="s">
        <v>8</v>
      </c>
      <c r="E2" s="4">
        <v>0.718470885957699</v>
      </c>
      <c r="F2" s="3" t="s">
        <v>9</v>
      </c>
      <c r="G2" s="2" t="s">
        <v>10</v>
      </c>
    </row>
    <row r="3" customHeight="1" spans="1:7">
      <c r="A3" s="3">
        <v>2</v>
      </c>
      <c r="B3" s="3">
        <v>2025</v>
      </c>
      <c r="C3" s="3" t="s">
        <v>11</v>
      </c>
      <c r="D3" s="3" t="s">
        <v>12</v>
      </c>
      <c r="E3" s="9" t="s">
        <v>13</v>
      </c>
      <c r="F3" s="3" t="s">
        <v>14</v>
      </c>
      <c r="G3" s="2" t="s">
        <v>15</v>
      </c>
    </row>
    <row r="4" ht="24" customHeight="1" spans="1:7">
      <c r="A4" s="3">
        <v>3</v>
      </c>
      <c r="B4" s="3">
        <v>2024</v>
      </c>
      <c r="C4" s="3" t="s">
        <v>11</v>
      </c>
      <c r="D4" s="3" t="s">
        <v>16</v>
      </c>
      <c r="E4" s="9" t="s">
        <v>13</v>
      </c>
      <c r="F4" s="3" t="s">
        <v>14</v>
      </c>
      <c r="G4" s="2" t="s">
        <v>15</v>
      </c>
    </row>
    <row r="5" customHeight="1" spans="1:7">
      <c r="A5" s="3">
        <v>4</v>
      </c>
      <c r="B5" s="3">
        <v>2023</v>
      </c>
      <c r="C5" s="3" t="s">
        <v>17</v>
      </c>
      <c r="D5" s="3" t="s">
        <v>18</v>
      </c>
      <c r="E5" s="9" t="s">
        <v>13</v>
      </c>
      <c r="F5" s="3" t="s">
        <v>14</v>
      </c>
      <c r="G5" s="2" t="s">
        <v>15</v>
      </c>
    </row>
    <row r="6" customHeight="1" spans="1:7">
      <c r="A6" s="3">
        <v>5</v>
      </c>
      <c r="B6" s="3">
        <v>2023</v>
      </c>
      <c r="C6" s="3" t="s">
        <v>19</v>
      </c>
      <c r="D6" s="3" t="s">
        <v>20</v>
      </c>
      <c r="E6" s="9" t="s">
        <v>13</v>
      </c>
      <c r="F6" s="3" t="s">
        <v>14</v>
      </c>
      <c r="G6" s="2" t="s">
        <v>15</v>
      </c>
    </row>
    <row r="7" customHeight="1" spans="1:7">
      <c r="A7" s="3">
        <v>6</v>
      </c>
      <c r="B7" s="3">
        <v>2023</v>
      </c>
      <c r="C7" s="3" t="s">
        <v>19</v>
      </c>
      <c r="D7" s="3" t="s">
        <v>20</v>
      </c>
      <c r="E7" s="9" t="s">
        <v>13</v>
      </c>
      <c r="F7" s="3" t="s">
        <v>14</v>
      </c>
      <c r="G7" s="2" t="s">
        <v>15</v>
      </c>
    </row>
    <row r="8" customHeight="1" spans="1:7">
      <c r="A8" s="3">
        <v>7</v>
      </c>
      <c r="B8" s="3">
        <v>2023</v>
      </c>
      <c r="C8" s="3" t="s">
        <v>19</v>
      </c>
      <c r="D8" s="3" t="s">
        <v>20</v>
      </c>
      <c r="E8" s="9" t="s">
        <v>13</v>
      </c>
      <c r="F8" s="3" t="s">
        <v>14</v>
      </c>
      <c r="G8" s="2" t="s">
        <v>15</v>
      </c>
    </row>
    <row r="9" customHeight="1" spans="1:7">
      <c r="A9" s="3">
        <v>8</v>
      </c>
      <c r="B9" s="3">
        <v>2023</v>
      </c>
      <c r="C9" s="3" t="s">
        <v>19</v>
      </c>
      <c r="D9" s="3" t="s">
        <v>20</v>
      </c>
      <c r="E9" s="9" t="s">
        <v>13</v>
      </c>
      <c r="F9" s="3" t="s">
        <v>14</v>
      </c>
      <c r="G9" s="2" t="s">
        <v>15</v>
      </c>
    </row>
    <row r="10" customHeight="1" spans="1:7">
      <c r="A10" s="3">
        <v>9</v>
      </c>
      <c r="B10" s="3">
        <v>2025</v>
      </c>
      <c r="C10" s="3" t="s">
        <v>21</v>
      </c>
      <c r="D10" s="3" t="s">
        <v>22</v>
      </c>
      <c r="E10" s="9" t="s">
        <v>13</v>
      </c>
      <c r="F10" s="3" t="s">
        <v>14</v>
      </c>
      <c r="G10" s="2" t="s">
        <v>15</v>
      </c>
    </row>
    <row r="11" customHeight="1" spans="1:7">
      <c r="A11" s="3">
        <v>10</v>
      </c>
      <c r="B11" s="3">
        <v>2015</v>
      </c>
      <c r="C11" s="3" t="s">
        <v>23</v>
      </c>
      <c r="D11" s="3" t="s">
        <v>24</v>
      </c>
      <c r="E11" s="9" t="s">
        <v>13</v>
      </c>
      <c r="F11" s="3" t="s">
        <v>14</v>
      </c>
      <c r="G11" s="2" t="s">
        <v>15</v>
      </c>
    </row>
    <row r="12" customHeight="1" spans="1:7">
      <c r="A12" s="3">
        <v>11</v>
      </c>
      <c r="B12" s="3">
        <v>2025</v>
      </c>
      <c r="C12" s="3" t="s">
        <v>25</v>
      </c>
      <c r="D12" s="3" t="s">
        <v>26</v>
      </c>
      <c r="E12" s="4">
        <v>0.36</v>
      </c>
      <c r="F12" s="3" t="s">
        <v>14</v>
      </c>
      <c r="G12" s="2" t="s">
        <v>15</v>
      </c>
    </row>
    <row r="13" customHeight="1" spans="1:7">
      <c r="A13" s="3">
        <v>12</v>
      </c>
      <c r="B13" s="3">
        <v>2023</v>
      </c>
      <c r="C13" s="3" t="s">
        <v>17</v>
      </c>
      <c r="D13" s="3" t="s">
        <v>18</v>
      </c>
      <c r="E13" s="9" t="s">
        <v>13</v>
      </c>
      <c r="F13" s="3" t="s">
        <v>14</v>
      </c>
      <c r="G13" s="2" t="s">
        <v>15</v>
      </c>
    </row>
    <row r="14" customHeight="1" spans="1:7">
      <c r="A14" s="3">
        <v>13</v>
      </c>
      <c r="B14" s="3">
        <v>2023</v>
      </c>
      <c r="C14" s="3" t="s">
        <v>17</v>
      </c>
      <c r="D14" s="3" t="s">
        <v>18</v>
      </c>
      <c r="E14" s="9" t="s">
        <v>13</v>
      </c>
      <c r="F14" s="3" t="s">
        <v>14</v>
      </c>
      <c r="G14" s="2" t="s">
        <v>15</v>
      </c>
    </row>
    <row r="15" customHeight="1" spans="1:7">
      <c r="A15" s="3">
        <v>14</v>
      </c>
      <c r="B15" s="3">
        <v>2023</v>
      </c>
      <c r="C15" s="3" t="s">
        <v>27</v>
      </c>
      <c r="D15" s="3" t="s">
        <v>28</v>
      </c>
      <c r="E15" s="9" t="s">
        <v>13</v>
      </c>
      <c r="F15" s="3" t="s">
        <v>14</v>
      </c>
      <c r="G15" s="2" t="s">
        <v>15</v>
      </c>
    </row>
    <row r="16" customHeight="1" spans="1:7">
      <c r="A16" s="3">
        <v>15</v>
      </c>
      <c r="B16" s="3">
        <v>2024</v>
      </c>
      <c r="C16" s="3" t="s">
        <v>29</v>
      </c>
      <c r="D16" s="3" t="s">
        <v>30</v>
      </c>
      <c r="E16" s="9" t="s">
        <v>13</v>
      </c>
      <c r="F16" s="3" t="s">
        <v>14</v>
      </c>
      <c r="G16" s="2" t="s">
        <v>15</v>
      </c>
    </row>
    <row r="17" ht="24" customHeight="1" spans="1:7">
      <c r="A17" s="3">
        <v>16</v>
      </c>
      <c r="B17" s="2" t="s">
        <v>31</v>
      </c>
      <c r="C17" s="3" t="s">
        <v>17</v>
      </c>
      <c r="D17" s="3" t="s">
        <v>32</v>
      </c>
      <c r="E17" s="9" t="s">
        <v>13</v>
      </c>
      <c r="F17" s="3" t="s">
        <v>14</v>
      </c>
      <c r="G17" s="2" t="s">
        <v>15</v>
      </c>
    </row>
    <row r="18" spans="1:7">
      <c r="A18" s="5"/>
      <c r="B18" s="5"/>
      <c r="C18" s="5"/>
      <c r="D18" s="5"/>
      <c r="E18" s="5"/>
      <c r="F18" s="5"/>
      <c r="G18" s="5"/>
    </row>
    <row r="19" spans="1:7">
      <c r="A19" s="5"/>
      <c r="B19" s="5"/>
      <c r="C19" s="5"/>
      <c r="D19" s="5"/>
      <c r="E19" s="5"/>
      <c r="F19" s="5"/>
      <c r="G19" s="5"/>
    </row>
    <row r="20" spans="1:7">
      <c r="A20" s="5"/>
      <c r="B20" s="5"/>
      <c r="C20" s="5"/>
      <c r="D20" s="5"/>
      <c r="E20" s="5"/>
      <c r="F20" s="5"/>
      <c r="G20" s="5"/>
    </row>
    <row r="21" spans="1:7">
      <c r="A21" s="5"/>
      <c r="B21" s="5"/>
      <c r="C21" s="5"/>
      <c r="D21" s="5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  <row r="25" spans="1:7">
      <c r="A25" s="5"/>
      <c r="B25" s="5"/>
      <c r="C25" s="5"/>
      <c r="D25" s="5"/>
      <c r="E25" s="5"/>
      <c r="F25" s="5"/>
      <c r="G25" s="5"/>
    </row>
    <row r="26" spans="1:7">
      <c r="A26" s="5"/>
      <c r="B26" s="5"/>
      <c r="C26" s="5"/>
      <c r="D26" s="5"/>
      <c r="E26" s="5"/>
      <c r="F26" s="5"/>
      <c r="G26" s="5"/>
    </row>
    <row r="27" spans="1:7">
      <c r="A27" s="5"/>
      <c r="B27" s="5"/>
      <c r="C27" s="5"/>
      <c r="D27" s="5"/>
      <c r="E27" s="5"/>
      <c r="F27" s="5"/>
      <c r="G27" s="5"/>
    </row>
    <row r="28" spans="1:7">
      <c r="A28" s="5"/>
      <c r="B28" s="5"/>
      <c r="C28" s="5"/>
      <c r="D28" s="5"/>
      <c r="E28" s="5"/>
      <c r="F28" s="5"/>
      <c r="G28" s="5"/>
    </row>
    <row r="29" spans="1:7">
      <c r="A29" s="5"/>
      <c r="B29" s="5"/>
      <c r="C29" s="5"/>
      <c r="D29" s="5"/>
      <c r="E29" s="5"/>
      <c r="F29" s="5"/>
      <c r="G29" s="5"/>
    </row>
    <row r="30" spans="1:7">
      <c r="A30" s="5"/>
      <c r="B30" s="5"/>
      <c r="C30" s="5"/>
      <c r="D30" s="5"/>
      <c r="E30" s="5"/>
      <c r="F30" s="5"/>
      <c r="G30" s="5"/>
    </row>
    <row r="31" spans="1:7">
      <c r="A31" s="5"/>
      <c r="B31" s="5"/>
      <c r="C31" s="5"/>
      <c r="D31" s="5"/>
      <c r="E31" s="5"/>
      <c r="F31" s="5"/>
      <c r="G31" s="5"/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  <row r="35" spans="1:7">
      <c r="A35" s="5"/>
      <c r="B35" s="5"/>
      <c r="C35" s="5"/>
      <c r="D35" s="5"/>
      <c r="E35" s="5"/>
      <c r="F35" s="5"/>
      <c r="G35" s="5"/>
    </row>
    <row r="36" spans="1:7">
      <c r="A36" s="5"/>
      <c r="B36" s="5"/>
      <c r="C36" s="5"/>
      <c r="D36" s="5"/>
      <c r="E36" s="5"/>
      <c r="F36" s="5"/>
      <c r="G36" s="5"/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  <row r="40" spans="1:7">
      <c r="A40" s="5"/>
      <c r="B40" s="5"/>
      <c r="C40" s="5"/>
      <c r="D40" s="5"/>
      <c r="E40" s="5"/>
      <c r="F40" s="5"/>
      <c r="G40" s="5"/>
    </row>
    <row r="41" spans="1:7">
      <c r="A41" s="5"/>
      <c r="B41" s="5"/>
      <c r="C41" s="5"/>
      <c r="D41" s="5"/>
      <c r="E41" s="5"/>
      <c r="F41" s="5"/>
      <c r="G41" s="5"/>
    </row>
    <row r="42" spans="1:7">
      <c r="A42" s="5"/>
      <c r="B42" s="5"/>
      <c r="C42" s="5"/>
      <c r="D42" s="5"/>
      <c r="E42" s="5"/>
      <c r="F42" s="5"/>
      <c r="G42" s="5"/>
    </row>
    <row r="43" spans="1:7">
      <c r="A43" s="5"/>
      <c r="B43" s="5"/>
      <c r="C43" s="5"/>
      <c r="D43" s="5"/>
      <c r="E43" s="5"/>
      <c r="F43" s="5"/>
      <c r="G43" s="5"/>
    </row>
    <row r="44" spans="1:7">
      <c r="A44" s="5"/>
      <c r="B44" s="5"/>
      <c r="C44" s="5"/>
      <c r="D44" s="5"/>
      <c r="E44" s="5"/>
      <c r="F44" s="5"/>
      <c r="G44" s="5"/>
    </row>
    <row r="45" spans="1:7">
      <c r="A45" s="5"/>
      <c r="B45" s="5"/>
      <c r="C45" s="5"/>
      <c r="D45" s="5"/>
      <c r="E45" s="5"/>
      <c r="F45" s="5"/>
      <c r="G45" s="5"/>
    </row>
    <row r="46" spans="1:7">
      <c r="A46" s="5"/>
      <c r="B46" s="5"/>
      <c r="C46" s="5"/>
      <c r="D46" s="5"/>
      <c r="E46" s="5"/>
      <c r="F46" s="5"/>
      <c r="G46" s="5"/>
    </row>
    <row r="47" spans="1:7">
      <c r="A47" s="5"/>
      <c r="B47" s="5"/>
      <c r="C47" s="5"/>
      <c r="D47" s="5"/>
      <c r="E47" s="5"/>
      <c r="F47" s="5"/>
      <c r="G47" s="5"/>
    </row>
    <row r="48" spans="1:7">
      <c r="A48" s="5"/>
      <c r="B48" s="5"/>
      <c r="C48" s="5"/>
      <c r="D48" s="5"/>
      <c r="E48" s="5"/>
      <c r="F48" s="5"/>
      <c r="G48" s="5"/>
    </row>
    <row r="49" spans="1:7">
      <c r="A49" s="5"/>
      <c r="B49" s="5"/>
      <c r="C49" s="5"/>
      <c r="D49" s="5"/>
      <c r="E49" s="5"/>
      <c r="F49" s="5"/>
      <c r="G49" s="5"/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  <row r="57" spans="1:7">
      <c r="A57" s="5"/>
      <c r="B57" s="5"/>
      <c r="C57" s="5"/>
      <c r="D57" s="5"/>
      <c r="E57" s="5"/>
      <c r="F57" s="5"/>
      <c r="G57" s="5"/>
    </row>
    <row r="58" spans="1:7">
      <c r="A58" s="5"/>
      <c r="B58" s="5"/>
      <c r="C58" s="5"/>
      <c r="D58" s="5"/>
      <c r="E58" s="5"/>
      <c r="F58" s="5"/>
      <c r="G58" s="5"/>
    </row>
    <row r="59" spans="1:7">
      <c r="A59" s="5"/>
      <c r="B59" s="5"/>
      <c r="C59" s="5"/>
      <c r="D59" s="5"/>
      <c r="E59" s="5"/>
      <c r="F59" s="5"/>
      <c r="G59" s="5"/>
    </row>
    <row r="60" spans="1:7">
      <c r="A60" s="5"/>
      <c r="B60" s="5"/>
      <c r="C60" s="5"/>
      <c r="D60" s="5"/>
      <c r="E60" s="5"/>
      <c r="F60" s="5"/>
      <c r="G60" s="5"/>
    </row>
    <row r="61" spans="1:7">
      <c r="A61" s="5"/>
      <c r="B61" s="5"/>
      <c r="C61" s="5"/>
      <c r="D61" s="5"/>
      <c r="E61" s="5"/>
      <c r="F61" s="5"/>
      <c r="G61" s="5"/>
    </row>
    <row r="62" spans="1:7">
      <c r="A62" s="5"/>
      <c r="B62" s="5"/>
      <c r="C62" s="5"/>
      <c r="D62" s="5"/>
      <c r="E62" s="5"/>
      <c r="F62" s="5"/>
      <c r="G62" s="5"/>
    </row>
    <row r="63" spans="1:7">
      <c r="A63" s="5"/>
      <c r="B63" s="5"/>
      <c r="C63" s="5"/>
      <c r="D63" s="5"/>
      <c r="E63" s="5"/>
      <c r="F63" s="5"/>
      <c r="G63" s="5"/>
    </row>
    <row r="64" spans="1:7">
      <c r="A64" s="5"/>
      <c r="B64" s="5"/>
      <c r="C64" s="5"/>
      <c r="D64" s="5"/>
      <c r="E64" s="5"/>
      <c r="F64" s="5"/>
      <c r="G64" s="5"/>
    </row>
    <row r="65" spans="1:7">
      <c r="A65" s="5"/>
      <c r="B65" s="5"/>
      <c r="C65" s="5"/>
      <c r="D65" s="5"/>
      <c r="E65" s="5"/>
      <c r="F65" s="5"/>
      <c r="G65" s="5"/>
    </row>
    <row r="66" spans="1:7">
      <c r="A66" s="5"/>
      <c r="B66" s="5"/>
      <c r="C66" s="5"/>
      <c r="D66" s="5"/>
      <c r="E66" s="5"/>
      <c r="F66" s="5"/>
      <c r="G66" s="5"/>
    </row>
    <row r="67" spans="1:7">
      <c r="A67" s="5"/>
      <c r="B67" s="5"/>
      <c r="C67" s="5"/>
      <c r="D67" s="5"/>
      <c r="E67" s="5"/>
      <c r="F67" s="5"/>
      <c r="G67" s="5"/>
    </row>
    <row r="68" spans="1:7">
      <c r="A68" s="5"/>
      <c r="B68" s="5"/>
      <c r="C68" s="5"/>
      <c r="D68" s="5"/>
      <c r="E68" s="5"/>
      <c r="F68" s="5"/>
      <c r="G68" s="5"/>
    </row>
    <row r="69" spans="1:7">
      <c r="A69" s="5"/>
      <c r="B69" s="5"/>
      <c r="C69" s="5"/>
      <c r="D69" s="5"/>
      <c r="E69" s="5"/>
      <c r="F69" s="5"/>
      <c r="G69" s="5"/>
    </row>
    <row r="70" spans="1:7">
      <c r="A70" s="5"/>
      <c r="B70" s="5"/>
      <c r="C70" s="5"/>
      <c r="D70" s="5"/>
      <c r="E70" s="5"/>
      <c r="F70" s="5"/>
      <c r="G70" s="5"/>
    </row>
    <row r="71" spans="1:7">
      <c r="A71" s="5"/>
      <c r="B71" s="5"/>
      <c r="C71" s="5"/>
      <c r="D71" s="5"/>
      <c r="E71" s="5"/>
      <c r="F71" s="5"/>
      <c r="G71" s="5"/>
    </row>
    <row r="72" spans="1:7">
      <c r="A72" s="5"/>
      <c r="B72" s="5"/>
      <c r="C72" s="5"/>
      <c r="D72" s="5"/>
      <c r="E72" s="5"/>
      <c r="F72" s="5"/>
      <c r="G72" s="5"/>
    </row>
    <row r="73" spans="1:7">
      <c r="A73" s="5"/>
      <c r="B73" s="5"/>
      <c r="C73" s="5"/>
      <c r="D73" s="5"/>
      <c r="E73" s="5"/>
      <c r="F73" s="5"/>
      <c r="G73" s="5"/>
    </row>
    <row r="74" spans="1:7">
      <c r="A74" s="5"/>
      <c r="B74" s="5"/>
      <c r="C74" s="5"/>
      <c r="D74" s="5"/>
      <c r="E74" s="5"/>
      <c r="F74" s="5"/>
      <c r="G74" s="5"/>
    </row>
    <row r="75" spans="1:7">
      <c r="A75" s="5"/>
      <c r="B75" s="5"/>
      <c r="C75" s="5"/>
      <c r="D75" s="5"/>
      <c r="E75" s="5"/>
      <c r="F75" s="5"/>
      <c r="G75" s="5"/>
    </row>
    <row r="76" spans="1:7">
      <c r="A76" s="5"/>
      <c r="B76" s="5"/>
      <c r="C76" s="5"/>
      <c r="D76" s="5"/>
      <c r="E76" s="5"/>
      <c r="F76" s="5"/>
      <c r="G76" s="5"/>
    </row>
    <row r="77" spans="1:7">
      <c r="A77" s="5"/>
      <c r="B77" s="5"/>
      <c r="C77" s="5"/>
      <c r="D77" s="5"/>
      <c r="E77" s="5"/>
      <c r="F77" s="5"/>
      <c r="G77" s="5"/>
    </row>
    <row r="78" spans="1:7">
      <c r="A78" s="5"/>
      <c r="B78" s="5"/>
      <c r="C78" s="5"/>
      <c r="D78" s="5"/>
      <c r="E78" s="5"/>
      <c r="F78" s="5"/>
      <c r="G78" s="5"/>
    </row>
    <row r="79" spans="1:7">
      <c r="A79" s="5"/>
      <c r="B79" s="5"/>
      <c r="C79" s="5"/>
      <c r="D79" s="5"/>
      <c r="E79" s="5"/>
      <c r="F79" s="5"/>
      <c r="G79" s="5"/>
    </row>
    <row r="80" spans="1:7">
      <c r="A80" s="5"/>
      <c r="B80" s="5"/>
      <c r="C80" s="5"/>
      <c r="D80" s="5"/>
      <c r="E80" s="5"/>
      <c r="F80" s="5"/>
      <c r="G80" s="5"/>
    </row>
    <row r="81" spans="1:7">
      <c r="A81" s="5"/>
      <c r="B81" s="5"/>
      <c r="C81" s="5"/>
      <c r="D81" s="5"/>
      <c r="E81" s="5"/>
      <c r="F81" s="5"/>
      <c r="G81" s="5"/>
    </row>
    <row r="82" spans="1:7">
      <c r="A82" s="5"/>
      <c r="B82" s="5"/>
      <c r="C82" s="5"/>
      <c r="D82" s="5"/>
      <c r="E82" s="5"/>
      <c r="F82" s="5"/>
      <c r="G82" s="5"/>
    </row>
    <row r="83" spans="1:7">
      <c r="A83" s="5"/>
      <c r="B83" s="5"/>
      <c r="C83" s="5"/>
      <c r="D83" s="5"/>
      <c r="E83" s="5"/>
      <c r="F83" s="5"/>
      <c r="G83" s="5"/>
    </row>
    <row r="84" spans="1:7">
      <c r="A84" s="5"/>
      <c r="B84" s="5"/>
      <c r="C84" s="5"/>
      <c r="D84" s="5"/>
      <c r="E84" s="5"/>
      <c r="F84" s="5"/>
      <c r="G84" s="5"/>
    </row>
    <row r="85" spans="1:7">
      <c r="A85" s="5"/>
      <c r="B85" s="5"/>
      <c r="C85" s="5"/>
      <c r="D85" s="5"/>
      <c r="E85" s="5"/>
      <c r="F85" s="5"/>
      <c r="G85" s="5"/>
    </row>
    <row r="86" spans="1:7">
      <c r="A86" s="5"/>
      <c r="B86" s="5"/>
      <c r="C86" s="5"/>
      <c r="D86" s="5"/>
      <c r="E86" s="5"/>
      <c r="F86" s="5"/>
      <c r="G86" s="5"/>
    </row>
    <row r="87" spans="1:7">
      <c r="A87" s="5"/>
      <c r="B87" s="5"/>
      <c r="C87" s="5"/>
      <c r="D87" s="5"/>
      <c r="E87" s="5"/>
      <c r="F87" s="5"/>
      <c r="G87" s="5"/>
    </row>
    <row r="88" spans="1:7">
      <c r="A88" s="5"/>
      <c r="B88" s="5"/>
      <c r="C88" s="5"/>
      <c r="D88" s="5"/>
      <c r="E88" s="5"/>
      <c r="F88" s="5"/>
      <c r="G88" s="5"/>
    </row>
    <row r="89" spans="1:7">
      <c r="A89" s="5"/>
      <c r="B89" s="5"/>
      <c r="C89" s="5"/>
      <c r="D89" s="5"/>
      <c r="E89" s="5"/>
      <c r="F89" s="5"/>
      <c r="G89" s="5"/>
    </row>
    <row r="90" spans="1:7">
      <c r="A90" s="5"/>
      <c r="B90" s="5"/>
      <c r="C90" s="5"/>
      <c r="D90" s="5"/>
      <c r="E90" s="5"/>
      <c r="F90" s="5"/>
      <c r="G90" s="5"/>
    </row>
    <row r="91" spans="1:7">
      <c r="A91" s="5"/>
      <c r="B91" s="5"/>
      <c r="C91" s="5"/>
      <c r="D91" s="5"/>
      <c r="E91" s="5"/>
      <c r="F91" s="5"/>
      <c r="G91" s="5"/>
    </row>
    <row r="92" spans="1:7">
      <c r="A92" s="5"/>
      <c r="B92" s="5"/>
      <c r="C92" s="5"/>
      <c r="D92" s="5"/>
      <c r="E92" s="5"/>
      <c r="F92" s="5"/>
      <c r="G92" s="5"/>
    </row>
    <row r="93" spans="1:7">
      <c r="A93" s="5"/>
      <c r="B93" s="5"/>
      <c r="C93" s="5"/>
      <c r="D93" s="5"/>
      <c r="E93" s="5"/>
      <c r="F93" s="5"/>
      <c r="G93" s="5"/>
    </row>
    <row r="94" spans="1:7">
      <c r="A94" s="5"/>
      <c r="B94" s="5"/>
      <c r="C94" s="5"/>
      <c r="D94" s="5"/>
      <c r="E94" s="5"/>
      <c r="F94" s="5"/>
      <c r="G94" s="5"/>
    </row>
    <row r="95" spans="1:7">
      <c r="A95" s="5"/>
      <c r="B95" s="5"/>
      <c r="C95" s="5"/>
      <c r="D95" s="5"/>
      <c r="E95" s="5"/>
      <c r="F95" s="5"/>
      <c r="G95" s="5"/>
    </row>
    <row r="96" spans="1:7">
      <c r="A96" s="5"/>
      <c r="B96" s="5"/>
      <c r="C96" s="5"/>
      <c r="D96" s="5"/>
      <c r="E96" s="5"/>
      <c r="F96" s="5"/>
      <c r="G96" s="5"/>
    </row>
    <row r="97" spans="1:7">
      <c r="A97" s="5"/>
      <c r="B97" s="5"/>
      <c r="C97" s="5"/>
      <c r="D97" s="5"/>
      <c r="E97" s="5"/>
      <c r="F97" s="5"/>
      <c r="G97" s="5"/>
    </row>
    <row r="98" spans="1:7">
      <c r="A98" s="5"/>
      <c r="B98" s="5"/>
      <c r="C98" s="5"/>
      <c r="D98" s="5"/>
      <c r="E98" s="5"/>
      <c r="F98" s="5"/>
      <c r="G98" s="5"/>
    </row>
    <row r="99" spans="1:7">
      <c r="A99" s="5"/>
      <c r="B99" s="5"/>
      <c r="C99" s="5"/>
      <c r="D99" s="5"/>
      <c r="E99" s="5"/>
      <c r="F99" s="5"/>
      <c r="G99" s="5"/>
    </row>
    <row r="100" spans="1:7">
      <c r="A100" s="5"/>
      <c r="B100" s="5"/>
      <c r="C100" s="5"/>
      <c r="D100" s="5"/>
      <c r="E100" s="5"/>
      <c r="F100" s="5"/>
      <c r="G10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00"/>
  <sheetViews>
    <sheetView workbookViewId="0">
      <selection activeCell="E1" sqref="E1"/>
    </sheetView>
  </sheetViews>
  <sheetFormatPr defaultColWidth="9" defaultRowHeight="13.5"/>
  <cols>
    <col min="1" max="1" width="8" customWidth="1"/>
    <col min="2" max="2" width="48" customWidth="1"/>
    <col min="3" max="3" width="12" customWidth="1"/>
    <col min="4" max="4" width="10" customWidth="1"/>
    <col min="5" max="5" width="28" customWidth="1"/>
    <col min="6" max="10" width="7" customWidth="1"/>
    <col min="11" max="12" width="10" customWidth="1"/>
    <col min="13" max="13" width="9" customWidth="1"/>
    <col min="14" max="14" width="8" customWidth="1"/>
    <col min="15" max="16" width="10" customWidth="1"/>
    <col min="17" max="17" width="12" customWidth="1"/>
  </cols>
  <sheetData>
    <row r="1" ht="30" customHeight="1" spans="1:17">
      <c r="A1" s="1" t="s">
        <v>0</v>
      </c>
      <c r="B1" s="1" t="s">
        <v>33</v>
      </c>
      <c r="C1" s="1" t="s">
        <v>1</v>
      </c>
      <c r="D1" s="1" t="s">
        <v>5</v>
      </c>
      <c r="E1" s="1" t="s">
        <v>4</v>
      </c>
      <c r="F1" s="6" t="s">
        <v>34</v>
      </c>
      <c r="G1" s="6" t="s">
        <v>9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</row>
    <row r="2" customHeight="1" spans="1:17">
      <c r="A2" s="3">
        <v>1</v>
      </c>
      <c r="B2" s="3" t="s">
        <v>45</v>
      </c>
      <c r="C2" s="3">
        <v>2022</v>
      </c>
      <c r="D2" s="3" t="s">
        <v>9</v>
      </c>
      <c r="E2" s="4">
        <v>0.718470885957699</v>
      </c>
      <c r="F2" s="7">
        <v>3</v>
      </c>
      <c r="G2" s="7">
        <v>4</v>
      </c>
      <c r="H2" s="7">
        <v>1</v>
      </c>
      <c r="I2" s="7">
        <v>3</v>
      </c>
      <c r="J2" s="7">
        <v>5</v>
      </c>
      <c r="K2" s="4">
        <f>(F2+G2+H2+I2+J2)/5</f>
        <v>3.2</v>
      </c>
      <c r="L2" s="4">
        <f>(5-K2)/4</f>
        <v>0.45</v>
      </c>
      <c r="M2" s="7">
        <f>COUNTIF($B$2:$B$2,B2)</f>
        <v>1</v>
      </c>
      <c r="N2" s="4">
        <f>1/M2</f>
        <v>1</v>
      </c>
      <c r="O2" s="4">
        <f>L2*N2</f>
        <v>0.45</v>
      </c>
      <c r="P2" s="4">
        <f>O2/SUM($O$2:$O$2)</f>
        <v>1</v>
      </c>
      <c r="Q2" s="4">
        <f>O2*LN(E2)</f>
        <v>-0.148783542692306</v>
      </c>
    </row>
    <row r="3" spans="1:1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0"/>
  <sheetViews>
    <sheetView tabSelected="1" workbookViewId="0">
      <selection activeCell="C5" sqref="C5"/>
    </sheetView>
  </sheetViews>
  <sheetFormatPr defaultColWidth="9" defaultRowHeight="13.5" outlineLevelCol="3"/>
  <cols>
    <col min="1" max="1" width="24" customWidth="1"/>
    <col min="2" max="2" width="10" customWidth="1"/>
    <col min="3" max="3" width="28" customWidth="1"/>
    <col min="4" max="4" width="14" customWidth="1"/>
  </cols>
  <sheetData>
    <row r="1" ht="30" customHeight="1" spans="1:4">
      <c r="A1" s="1" t="s">
        <v>46</v>
      </c>
      <c r="B1" s="1" t="s">
        <v>47</v>
      </c>
      <c r="C1" s="1" t="s">
        <v>4</v>
      </c>
      <c r="D1" s="1" t="s">
        <v>48</v>
      </c>
    </row>
    <row r="2" customHeight="1" spans="1:4">
      <c r="A2" s="2" t="s">
        <v>49</v>
      </c>
      <c r="B2" s="3" t="s">
        <v>50</v>
      </c>
      <c r="C2" s="4">
        <f>EXP(SUM('02_评分与权重'!Q2:Q2)/SUM('02_评分与权重'!O2:O2))</f>
        <v>0.718470885957699</v>
      </c>
      <c r="D2" s="2" t="s">
        <v>51</v>
      </c>
    </row>
    <row r="3" customHeight="1" spans="1:4">
      <c r="A3" s="2" t="s">
        <v>52</v>
      </c>
      <c r="B3" s="3" t="s">
        <v>53</v>
      </c>
      <c r="C3" s="4">
        <f>AVERAGE('02_评分与权重'!E2:E2)</f>
        <v>0.718470885957699</v>
      </c>
      <c r="D3" s="2" t="s">
        <v>54</v>
      </c>
    </row>
    <row r="4" customHeight="1" spans="1:4">
      <c r="A4" s="2" t="s">
        <v>55</v>
      </c>
      <c r="B4" s="3" t="s">
        <v>56</v>
      </c>
      <c r="C4" s="4">
        <f>GEOMEAN('02_评分与权重'!E2:E2)</f>
        <v>0.718470885957699</v>
      </c>
      <c r="D4" s="2" t="s">
        <v>54</v>
      </c>
    </row>
    <row r="5" spans="1:4">
      <c r="A5" s="5"/>
      <c r="B5" s="5"/>
      <c r="C5" s="5"/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01_数据来源与准入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2026-09-02T04:43:23Z</dcterms:created>
  <dcterms:modified xsi:type="dcterms:W3CDTF">2026-09-02T04:44:08Z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3BE9DA8E962C40F0B2FC8FD26A191D00_12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