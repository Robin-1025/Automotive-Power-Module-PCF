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<sst xmlns="http://schemas.openxmlformats.org/spreadsheetml/2006/main" count="58" uniqueCount="43">
  <si>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</si>
  <si>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</si>
  <si>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</si>
  <si>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</si>
  <si>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</si>
  <si>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状态</t>
  </si>
  <si>
    <t>Smart Freight Centre / GLEC Framework v3.2</t>
  </si>
  <si>
    <t>https://smartfreightcentre.org/news/13311209</t>
  </si>
  <si>
    <t>纳入</t>
  </si>
  <si>
    <t>UK Government GHG Conversion Factors 2026</t>
  </si>
  <si>
    <t>https://www.gov.uk/government/publications/greenhouse-gas-reporting-conversion-factors-2026</t>
  </si>
  <si>
    <t>EcoTransIT World 2024/2026 harmonized reconstruction</t>
  </si>
  <si>
    <t>https://www.ecotransit.org/wp-content/uploads/20240308_Methodology_Report_Update_2024.pdf
https://www.ecotransit.org/wp-content/uploads/EcoTransIT_World_Methodology_Report_Version_4_ISO14083.pdf</t>
  </si>
  <si>
    <t>ecoinvent v3.8 air-freight update + SRI global air-freight LCI</t>
  </si>
  <si>
    <t>https://support.ecoinvent.org/hubfs/Change-Report-v3.8.pdf?hsLang=en
https://sri-lci.ecoinvent.org/files/sectorial_report_sri_glo_air_transport_v2.pdf</t>
  </si>
  <si>
    <t>TERI / GIZ Freight GHG Calculator Methodology + harmonized kerosene WTW</t>
  </si>
  <si>
    <t>https://www.teriin.org/sites/default/files/2022-10/Freight_GHG_Calculator_Methodology_Report.pdf
https://www.ecotransit.org/wp-content/uploads/EcoTransIT_World_Methodology_Report_Version_4_ISO14083.pdf</t>
  </si>
  <si>
    <t>中国民航局《2024年民航行业发展统计公报》</t>
  </si>
  <si>
    <t>https://www.caac.gov.cn/XXGK/XXGK/TJSJ/202505/P020250515367555717699.pdf
https://www.ecotransit.org/wp-content/uploads/EcoTransIT_World_Methodology_Report_Version_4_ISO14083.pdf</t>
  </si>
  <si>
    <t>未纳入</t>
  </si>
  <si>
    <t>中国二手整理资料</t>
  </si>
  <si>
    <t>https://lingtan.chinacsrmap.org/wp-content/uploads/2025/03/gzgfglyspfyz.pdf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</si>
  <si>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</si>
  <si>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</si>
  <si>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</si>
  <si>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</si>
  <si>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</si>
  <si>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</si>
  <si>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</si>
  <si>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</si>
  <si>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</si>
  <si>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</si>
  <si>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</si>
  <si>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r>
      <rPr>
        <b/>
        <sz val="10"/>
        <color rgb="FF000000"/>
        <rFont val="宋体"/>
        <charset val="134"/>
      </rPr>
      <t>最终结果（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</si>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</sst>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Carlito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"/>
  <sheetViews>
    <sheetView tabSelected="1" workbookViewId="0">
      <selection activeCell="D7" sqref="D7"/>
    </sheetView>
  </sheetViews>
  <sheetFormatPr defaultColWidth="9" defaultRowHeight="13.5" outlineLevelRow="7" outlineLevelCol="5"/>
  <cols>
    <col min="1" max="1" width="8" customWidth="1"/>
    <col min="2" max="2" width="11" customWidth="1"/>
    <col min="3" max="3" width="36" customWidth="1"/>
    <col min="4" max="4" width="48" customWidth="1"/>
    <col min="5" max="5" width="24" customWidth="1"/>
    <col min="6" max="6" width="10" customWidth="1"/>
    <col min="7" max="7" width="8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>
      <c r="A2" s="3">
        <v>1</v>
      </c>
      <c r="B2" s="3">
        <v>2025</v>
      </c>
      <c r="C2" s="3" t="s">
        <v>6</v>
      </c>
      <c r="D2" s="3" t="s">
        <v>7</v>
      </c>
      <c r="E2" s="4">
        <v>1.363</v>
      </c>
      <c r="F2" s="2" t="s">
        <v>8</v>
      </c>
    </row>
    <row r="3" ht="30" customHeight="1" spans="1:6">
      <c r="A3" s="3">
        <v>2</v>
      </c>
      <c r="B3" s="3">
        <v>2023</v>
      </c>
      <c r="C3" s="3" t="s">
        <v>9</v>
      </c>
      <c r="D3" s="3" t="s">
        <v>10</v>
      </c>
      <c r="E3" s="4">
        <v>0.96054</v>
      </c>
      <c r="F3" s="2" t="s">
        <v>8</v>
      </c>
    </row>
    <row r="4" ht="56" customHeight="1" spans="1:6">
      <c r="A4" s="3">
        <v>3</v>
      </c>
      <c r="B4" s="3">
        <v>2021</v>
      </c>
      <c r="C4" s="3" t="s">
        <v>11</v>
      </c>
      <c r="D4" s="3" t="s">
        <v>12</v>
      </c>
      <c r="E4" s="4">
        <v>1.65265857115187</v>
      </c>
      <c r="F4" s="2" t="s">
        <v>8</v>
      </c>
    </row>
    <row r="5" ht="52.5" spans="1:6">
      <c r="A5" s="3">
        <v>4</v>
      </c>
      <c r="B5" s="3">
        <v>2016</v>
      </c>
      <c r="C5" s="3" t="s">
        <v>13</v>
      </c>
      <c r="D5" s="3" t="s">
        <v>14</v>
      </c>
      <c r="E5" s="4">
        <v>0.895859217014137</v>
      </c>
      <c r="F5" s="2" t="s">
        <v>8</v>
      </c>
    </row>
    <row r="6" ht="56" customHeight="1" spans="1:6">
      <c r="A6" s="3">
        <v>5</v>
      </c>
      <c r="B6" s="3">
        <v>2020</v>
      </c>
      <c r="C6" s="3" t="s">
        <v>15</v>
      </c>
      <c r="D6" s="3" t="s">
        <v>16</v>
      </c>
      <c r="E6" s="4">
        <v>0.48225618421968</v>
      </c>
      <c r="F6" s="2" t="s">
        <v>8</v>
      </c>
    </row>
    <row r="7" ht="56" customHeight="1" spans="1:6">
      <c r="A7" s="3">
        <v>6</v>
      </c>
      <c r="B7" s="3">
        <v>2024</v>
      </c>
      <c r="C7" s="2" t="s">
        <v>17</v>
      </c>
      <c r="D7" s="3" t="s">
        <v>18</v>
      </c>
      <c r="E7" s="4">
        <v>1.0395289</v>
      </c>
      <c r="F7" s="2" t="s">
        <v>19</v>
      </c>
    </row>
    <row r="8" ht="36" customHeight="1" spans="1:6">
      <c r="A8" s="3">
        <v>7</v>
      </c>
      <c r="B8" s="3">
        <v>2025</v>
      </c>
      <c r="C8" s="2" t="s">
        <v>20</v>
      </c>
      <c r="D8" s="3" t="s">
        <v>21</v>
      </c>
      <c r="E8" s="4">
        <v>0.985</v>
      </c>
      <c r="F8" s="2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"/>
  <sheetViews>
    <sheetView workbookViewId="0">
      <selection activeCell="D4" sqref="D4"/>
    </sheetView>
  </sheetViews>
  <sheetFormatPr defaultColWidth="9" defaultRowHeight="13.5" outlineLevelRow="5"/>
  <cols>
    <col min="1" max="1" width="8" customWidth="1"/>
    <col min="2" max="2" width="38" customWidth="1"/>
    <col min="3" max="3" width="11" customWidth="1"/>
    <col min="4" max="4" width="24" customWidth="1"/>
    <col min="5" max="9" width="6" customWidth="1"/>
    <col min="10" max="12" width="9" customWidth="1"/>
    <col min="13" max="13" width="12" customWidth="1"/>
  </cols>
  <sheetData>
    <row r="1" ht="26" customHeight="1" spans="1:13">
      <c r="A1" s="1" t="s">
        <v>0</v>
      </c>
      <c r="B1" s="1" t="s">
        <v>2</v>
      </c>
      <c r="C1" s="1" t="s">
        <v>1</v>
      </c>
      <c r="D1" s="1" t="s">
        <v>4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ht="28" customHeight="1" spans="1:13">
      <c r="A2" s="3">
        <v>1</v>
      </c>
      <c r="B2" s="3" t="s">
        <v>6</v>
      </c>
      <c r="C2" s="3">
        <v>2025</v>
      </c>
      <c r="D2" s="4">
        <v>1.363</v>
      </c>
      <c r="E2" s="3">
        <v>2</v>
      </c>
      <c r="F2" s="3">
        <v>2</v>
      </c>
      <c r="G2" s="3">
        <v>1</v>
      </c>
      <c r="H2" s="3">
        <v>1</v>
      </c>
      <c r="I2" s="3">
        <v>3</v>
      </c>
      <c r="J2" s="4">
        <f>AVERAGE(E2:I2)</f>
        <v>1.8</v>
      </c>
      <c r="K2" s="4">
        <f>(5-J2)/4</f>
        <v>0.8</v>
      </c>
      <c r="L2" s="4">
        <f>K2/SUM($K$2:$K$6)</f>
        <v>0.242424242424242</v>
      </c>
      <c r="M2" s="4">
        <f>L2*LN(D2)</f>
        <v>0.0750759158095505</v>
      </c>
    </row>
    <row r="3" ht="28" customHeight="1" spans="1:13">
      <c r="A3" s="3">
        <v>2</v>
      </c>
      <c r="B3" s="3" t="s">
        <v>9</v>
      </c>
      <c r="C3" s="3">
        <v>2023</v>
      </c>
      <c r="D3" s="4">
        <v>0.96054</v>
      </c>
      <c r="E3" s="3">
        <v>1</v>
      </c>
      <c r="F3" s="3">
        <v>2</v>
      </c>
      <c r="G3" s="3">
        <v>2</v>
      </c>
      <c r="H3" s="3">
        <v>3</v>
      </c>
      <c r="I3" s="3">
        <v>2</v>
      </c>
      <c r="J3" s="4">
        <f>AVERAGE(E3:I3)</f>
        <v>2</v>
      </c>
      <c r="K3" s="4">
        <f>(5-J3)/4</f>
        <v>0.75</v>
      </c>
      <c r="L3" s="4">
        <f>K3/SUM($K$2:$K$6)</f>
        <v>0.227272727272727</v>
      </c>
      <c r="M3" s="4">
        <f>L3*LN(D3)</f>
        <v>-0.00914992106001796</v>
      </c>
    </row>
    <row r="4" ht="38" customHeight="1" spans="1:13">
      <c r="A4" s="3">
        <v>3</v>
      </c>
      <c r="B4" s="3" t="s">
        <v>11</v>
      </c>
      <c r="C4" s="3">
        <v>2021</v>
      </c>
      <c r="D4" s="4">
        <v>1.65265857115187</v>
      </c>
      <c r="E4" s="3">
        <v>2</v>
      </c>
      <c r="F4" s="3">
        <v>3</v>
      </c>
      <c r="G4" s="3">
        <v>3</v>
      </c>
      <c r="H4" s="3">
        <v>2</v>
      </c>
      <c r="I4" s="3">
        <v>2</v>
      </c>
      <c r="J4" s="4">
        <f>AVERAGE(E4:I4)</f>
        <v>2.4</v>
      </c>
      <c r="K4" s="4">
        <f>(5-J4)/4</f>
        <v>0.65</v>
      </c>
      <c r="L4" s="4">
        <f>K4/SUM($K$2:$K$6)</f>
        <v>0.196969696969697</v>
      </c>
      <c r="M4" s="4">
        <f>L4*LN(D4)</f>
        <v>0.0989546697606182</v>
      </c>
    </row>
    <row r="5" ht="38" customHeight="1" spans="1:13">
      <c r="A5" s="3">
        <v>4</v>
      </c>
      <c r="B5" s="3" t="s">
        <v>13</v>
      </c>
      <c r="C5" s="3">
        <v>2016</v>
      </c>
      <c r="D5" s="4">
        <v>0.895859217014137</v>
      </c>
      <c r="E5" s="3">
        <v>3</v>
      </c>
      <c r="F5" s="3">
        <v>3</v>
      </c>
      <c r="G5" s="3">
        <v>1</v>
      </c>
      <c r="H5" s="3">
        <v>1</v>
      </c>
      <c r="I5" s="3">
        <v>4</v>
      </c>
      <c r="J5" s="4">
        <f>AVERAGE(E5:I5)</f>
        <v>2.4</v>
      </c>
      <c r="K5" s="4">
        <f>(5-J5)/4</f>
        <v>0.65</v>
      </c>
      <c r="L5" s="4">
        <f>K5/SUM($K$2:$K$6)</f>
        <v>0.196969696969697</v>
      </c>
      <c r="M5" s="4">
        <f>L5*LN(D5)</f>
        <v>-0.0216611519525434</v>
      </c>
    </row>
    <row r="6" ht="38" customHeight="1" spans="1:13">
      <c r="A6" s="3">
        <v>5</v>
      </c>
      <c r="B6" s="3" t="s">
        <v>15</v>
      </c>
      <c r="C6" s="3">
        <v>2020</v>
      </c>
      <c r="D6" s="4">
        <v>0.48225618421968</v>
      </c>
      <c r="E6" s="3">
        <v>3</v>
      </c>
      <c r="F6" s="3">
        <v>3</v>
      </c>
      <c r="G6" s="3">
        <v>4</v>
      </c>
      <c r="H6" s="3">
        <v>3</v>
      </c>
      <c r="I6" s="3">
        <v>3</v>
      </c>
      <c r="J6" s="4">
        <f>AVERAGE(E6:I6)</f>
        <v>3.2</v>
      </c>
      <c r="K6" s="4">
        <f>(5-J6)/4</f>
        <v>0.45</v>
      </c>
      <c r="L6" s="4">
        <f>K6/SUM($K$2:$K$6)</f>
        <v>0.136363636363636</v>
      </c>
      <c r="M6" s="4">
        <f>L6*LN(D6)</f>
        <v>-0.0994472459452529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C19" sqref="C19"/>
    </sheetView>
  </sheetViews>
  <sheetFormatPr defaultColWidth="9" defaultRowHeight="13.5" outlineLevelRow="3" outlineLevelCol="3"/>
  <cols>
    <col min="1" max="1" width="22" customWidth="1"/>
    <col min="2" max="2" width="11" customWidth="1"/>
    <col min="3" max="3" width="26" customWidth="1"/>
    <col min="4" max="4" width="12" customWidth="1"/>
  </cols>
  <sheetData>
    <row r="1" ht="26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ht="24" customHeight="1" spans="1:4">
      <c r="A2" s="2" t="s">
        <v>35</v>
      </c>
      <c r="B2" s="3" t="s">
        <v>36</v>
      </c>
      <c r="C2" s="4">
        <f>EXP(SUM('02_评分与权重'!M2:M6))</f>
        <v>1.04474440461237</v>
      </c>
      <c r="D2" s="2" t="s">
        <v>37</v>
      </c>
    </row>
    <row r="3" ht="24" customHeight="1" spans="1:4">
      <c r="A3" s="2" t="s">
        <v>38</v>
      </c>
      <c r="B3" s="3" t="s">
        <v>39</v>
      </c>
      <c r="C3" s="4">
        <f>AVERAGE('02_评分与权重'!D2:D6)</f>
        <v>1.07086279447714</v>
      </c>
      <c r="D3" s="2" t="s">
        <v>40</v>
      </c>
    </row>
    <row r="4" ht="24" customHeight="1" spans="1:4">
      <c r="A4" s="2" t="s">
        <v>41</v>
      </c>
      <c r="B4" s="3" t="s">
        <v>42</v>
      </c>
      <c r="C4" s="4">
        <f>GEOMEAN('02_评分与权重'!D2:D6)</f>
        <v>0.986602938418967</v>
      </c>
      <c r="D4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短途航空货运_交通运输排放因子</dc:title>
  <dc:creator>朱易成</dc:creator>
  <cp:lastModifiedBy>朱易成</cp:lastModifiedBy>
  <dcterms:created xsi:type="dcterms:W3CDTF">2026-09-02T03:42:00Z</dcterms:created>
  <dcterms:modified xsi:type="dcterms:W3CDTF">2026-09-02T04:10:28Z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FD3948060018493ABF199F6E503C3AC2_12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