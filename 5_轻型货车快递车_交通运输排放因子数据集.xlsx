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/>
  </bookViews>
  <sheets>
    <sheet name="01_数据来源" sheetId="1" r:id="rId1"/>
    <sheet name="02_评分与权重" sheetId="2" r:id="rId2"/>
    <sheet name="03_最终结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<sst xmlns="http://schemas.openxmlformats.org/spreadsheetml/2006/main" count="79" uniqueCount="55">
  <si>
    <t>编号</t>
  </si>
  <si>
    <t>数据年份</t>
  </si>
  <si>
    <t>来源</t>
  </si>
  <si>
    <t>来源地址</t>
  </si>
  <si>
    <r>
      <rPr>
        <b/>
        <sz val="10"/>
        <color rgb="FF000000"/>
        <rFont val="宋体"/>
        <charset val="134"/>
      </rPr>
      <t>归一化因子（kgCO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宋体"/>
        <charset val="134"/>
      </rPr>
      <t>e/(t·km)）</t>
    </r>
  </si>
  <si>
    <t>状态</t>
  </si>
  <si>
    <t>Smart Freight Centre / China GLEC v1.1</t>
  </si>
  <si>
    <t>https://smartfreightcentre.org/news/13311552
https://www.efchina.org/Attachments/Report/report-ctp-20201103/Preliminary-Investigation-and-research-on-freight-industry.pdf</t>
  </si>
  <si>
    <t>纳入</t>
  </si>
  <si>
    <t>绿色和平 / 同济大学研究团队</t>
  </si>
  <si>
    <t>https://www.greenpeace.org.cn/wp-content/uploads/2025/03/emissions-reductions-express-delivery.pdf
https://smartfreightcentre.org/news/13311552</t>
  </si>
  <si>
    <t>UK DESNZ / UK Government</t>
  </si>
  <si>
    <t>https://www.gov.uk/government/publications/greenhouse-gas-reporting-conversion-factors-2026
https://assets.publishing.service.gov.uk/media/6a2940543b15d05a7ce3202e/2026-GHG-conversion-factors-methodology-report.pdf</t>
  </si>
  <si>
    <t>法国生态部 / ADEME</t>
  </si>
  <si>
    <t>https://www.legifrance.gouv.fr/jo_pdf.do?id=JORFTEXT000025714522
https://www.legifrance.gouv.fr/jorf/id/JORFTEXT000034502741</t>
  </si>
  <si>
    <t>Flughafen Zürich AG</t>
  </si>
  <si>
    <t>https://www.flughafen-zuerich.ch/-/jssmedia/airport/portal/dokumente/das-unternehmen/politics-and-responsibility/environmental-protection/technische-berichte/zurichairport_cargo_carbon_calculator.pdf?vs=1
https://smartfreightcentre.org/news/13311552</t>
  </si>
  <si>
    <t>New Zealand Ministry for the Environment — Freight transport</t>
  </si>
  <si>
    <t>https://measuringemissionsguide.environment.govt.nz/8_freight.html</t>
  </si>
  <si>
    <t>未纳入</t>
  </si>
  <si>
    <t>GLEC Framework v3.2 — generic van &lt;3.5 t</t>
  </si>
  <si>
    <t>https://smartfreightcentre.org/news/13311209</t>
  </si>
  <si>
    <t>Gold Standard Tool 2 — light vehicle</t>
  </si>
  <si>
    <t>https://globalgoals.goldstandard.org/standards/450_V1.0_Tool-2-Emissions-from-freight-transportation.pdf</t>
  </si>
  <si>
    <t>绿色和平 / 同济快递报告：路径段1/5</t>
  </si>
  <si>
    <t>https://www.greenpeace.org.cn/wp-content/uploads/2025/03/emissions-reductions-express-delivery.pdf</t>
  </si>
  <si>
    <t>绿色和平 / 同济快递报告：两辆PEMS实测</t>
  </si>
  <si>
    <t>未提供</t>
  </si>
  <si>
    <t>UK DESNZ旧表拼接</t>
  </si>
  <si>
    <t>https://www.gov.uk/government/publications/greenhouse-gas-reporting-conversion-factors-2026</t>
  </si>
  <si>
    <t>EcoTransIT World</t>
  </si>
  <si>
    <t>https://www.ecotransit.org/wp-content/uploads/20240308_Methodology_Report_Update_2024.pdf</t>
  </si>
  <si>
    <t>US EPA SmartWay — Package delivery</t>
  </si>
  <si>
    <t>https://nepis.epa.gov/Exe/ZyPURL.cgi?Dockey=P101CA4H.TXT</t>
  </si>
  <si>
    <t>R</t>
  </si>
  <si>
    <t>C</t>
  </si>
  <si>
    <t>Te</t>
  </si>
  <si>
    <t>G</t>
  </si>
  <si>
    <t>T</t>
  </si>
  <si>
    <t>DQR</t>
  </si>
  <si>
    <t>Q</t>
  </si>
  <si>
    <t>W</t>
  </si>
  <si>
    <t>W·ln(e)</t>
  </si>
  <si>
    <t>方法</t>
  </si>
  <si>
    <t>符号</t>
  </si>
  <si>
    <r>
      <rPr>
        <b/>
        <sz val="10"/>
        <color rgb="FF000000"/>
        <rFont val="宋体"/>
        <charset val="134"/>
      </rPr>
      <t>最终结果（kgCO</t>
    </r>
    <r>
      <rPr>
        <b/>
        <vertAlign val="subscript"/>
        <sz val="10"/>
        <color rgb="FF000000"/>
        <rFont val="Times New Roman"/>
        <charset val="134"/>
      </rPr>
      <t>2</t>
    </r>
    <r>
      <rPr>
        <b/>
        <sz val="10"/>
        <color rgb="FF000000"/>
        <rFont val="宋体"/>
        <charset val="134"/>
      </rPr>
      <t>e/(t·km)）</t>
    </r>
  </si>
  <si>
    <t>用途</t>
  </si>
  <si>
    <t>质量加权几何均值</t>
  </si>
  <si>
    <t>QWGM</t>
  </si>
  <si>
    <t>基准值</t>
  </si>
  <si>
    <t>等权算术均值</t>
  </si>
  <si>
    <t>AM</t>
  </si>
  <si>
    <t>对照值</t>
  </si>
  <si>
    <t>等权几何均值</t>
  </si>
  <si>
    <t>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</si>
</sst>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6">
    <font>
      <sz val="11"/>
      <name val="Carlito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0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21">
    <xf numFmtId="0" fontId="0" fillId="0" borderId="0" xfId="49"/>
    <xf numFmtId="0" fontId="1" fillId="0" borderId="1" xfId="49" applyNumberFormat="1" applyFont="1" applyBorder="1" applyAlignment="1">
      <alignment horizontal="center" vertical="center" wrapText="1"/>
    </xf>
    <xf numFmtId="0" fontId="1" fillId="0" borderId="2" xfId="49" applyNumberFormat="1" applyFont="1" applyBorder="1" applyAlignment="1">
      <alignment horizontal="center" vertical="center" wrapText="1"/>
    </xf>
    <xf numFmtId="0" fontId="1" fillId="0" borderId="3" xfId="49" applyNumberFormat="1" applyFont="1" applyBorder="1" applyAlignment="1">
      <alignment horizontal="center" vertical="center" wrapText="1"/>
    </xf>
    <xf numFmtId="0" fontId="2" fillId="0" borderId="4" xfId="49" applyNumberFormat="1" applyFont="1" applyBorder="1" applyAlignment="1">
      <alignment horizontal="center" vertical="center" wrapText="1"/>
    </xf>
    <xf numFmtId="0" fontId="3" fillId="0" borderId="0" xfId="49" applyNumberFormat="1" applyFont="1" applyBorder="1" applyAlignment="1">
      <alignment horizontal="center" vertical="center" wrapText="1"/>
    </xf>
    <xf numFmtId="176" fontId="3" fillId="0" borderId="0" xfId="49" applyNumberFormat="1" applyFont="1" applyBorder="1" applyAlignment="1">
      <alignment horizontal="center" vertical="center" wrapText="1"/>
    </xf>
    <xf numFmtId="0" fontId="2" fillId="0" borderId="5" xfId="49" applyNumberFormat="1" applyFont="1" applyBorder="1" applyAlignment="1">
      <alignment horizontal="center" vertical="center" wrapText="1"/>
    </xf>
    <xf numFmtId="0" fontId="2" fillId="0" borderId="6" xfId="49" applyNumberFormat="1" applyFont="1" applyBorder="1" applyAlignment="1">
      <alignment horizontal="center" vertical="center" wrapText="1"/>
    </xf>
    <xf numFmtId="0" fontId="3" fillId="0" borderId="7" xfId="49" applyNumberFormat="1" applyFont="1" applyBorder="1" applyAlignment="1">
      <alignment horizontal="center" vertical="center" wrapText="1"/>
    </xf>
    <xf numFmtId="176" fontId="3" fillId="0" borderId="7" xfId="49" applyNumberFormat="1" applyFont="1" applyBorder="1" applyAlignment="1">
      <alignment horizontal="center" vertical="center" wrapText="1"/>
    </xf>
    <xf numFmtId="0" fontId="2" fillId="0" borderId="8" xfId="49" applyNumberFormat="1" applyFont="1" applyBorder="1" applyAlignment="1">
      <alignment horizontal="center" vertical="center" wrapText="1"/>
    </xf>
    <xf numFmtId="0" fontId="4" fillId="0" borderId="2" xfId="49" applyNumberFormat="1" applyFont="1" applyBorder="1" applyAlignment="1">
      <alignment horizontal="center" vertical="center" wrapText="1"/>
    </xf>
    <xf numFmtId="0" fontId="4" fillId="0" borderId="3" xfId="49" applyNumberFormat="1" applyFont="1" applyBorder="1" applyAlignment="1">
      <alignment horizontal="center" vertical="center" wrapText="1"/>
    </xf>
    <xf numFmtId="1" fontId="3" fillId="0" borderId="4" xfId="49" applyNumberFormat="1" applyFont="1" applyBorder="1" applyAlignment="1">
      <alignment horizontal="center" vertical="center" wrapText="1"/>
    </xf>
    <xf numFmtId="1" fontId="3" fillId="0" borderId="0" xfId="49" applyNumberFormat="1" applyFont="1" applyBorder="1" applyAlignment="1">
      <alignment horizontal="center" vertical="center" wrapText="1"/>
    </xf>
    <xf numFmtId="176" fontId="3" fillId="0" borderId="5" xfId="49" applyNumberFormat="1" applyFont="1" applyBorder="1" applyAlignment="1">
      <alignment horizontal="center" vertical="center" wrapText="1"/>
    </xf>
    <xf numFmtId="0" fontId="2" fillId="0" borderId="0" xfId="49" applyNumberFormat="1" applyFont="1" applyBorder="1" applyAlignment="1">
      <alignment horizontal="center" vertical="center" wrapText="1"/>
    </xf>
    <xf numFmtId="1" fontId="3" fillId="0" borderId="6" xfId="49" applyNumberFormat="1" applyFont="1" applyBorder="1" applyAlignment="1">
      <alignment horizontal="center" vertical="center" wrapText="1"/>
    </xf>
    <xf numFmtId="1" fontId="3" fillId="0" borderId="7" xfId="49" applyNumberFormat="1" applyFont="1" applyBorder="1" applyAlignment="1">
      <alignment horizontal="center" vertical="center" wrapText="1"/>
    </xf>
    <xf numFmtId="176" fontId="3" fillId="0" borderId="8" xfId="49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Times New Roman"/>
        <a:ea typeface="宋体"/>
        <a:cs typeface="Times New Roman"/>
      </a:majorFont>
      <a:minorFont>
        <a:latin typeface="Times New Roman"/>
        <a:ea typeface="宋体"/>
        <a:cs typeface="Times New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4"/>
  <sheetViews>
    <sheetView tabSelected="1" workbookViewId="0">
      <selection activeCell="E11" sqref="E11"/>
    </sheetView>
  </sheetViews>
  <sheetFormatPr defaultColWidth="9" defaultRowHeight="13.5" outlineLevelCol="5"/>
  <cols>
    <col min="1" max="1" width="8" customWidth="1"/>
    <col min="2" max="2" width="11" customWidth="1"/>
    <col min="3" max="3" width="34" customWidth="1"/>
    <col min="4" max="4" width="58" customWidth="1"/>
    <col min="5" max="5" width="26" customWidth="1"/>
    <col min="6" max="6" width="10" customWidth="1"/>
  </cols>
  <sheetData>
    <row r="1" ht="16.1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39.4" spans="1:6">
      <c r="A2" s="14">
        <v>1</v>
      </c>
      <c r="B2" s="15">
        <v>2019</v>
      </c>
      <c r="C2" s="5" t="s">
        <v>6</v>
      </c>
      <c r="D2" s="5" t="s">
        <v>7</v>
      </c>
      <c r="E2" s="6">
        <v>0.47044</v>
      </c>
      <c r="F2" s="7" t="s">
        <v>8</v>
      </c>
    </row>
    <row r="3" ht="39.4" spans="1:6">
      <c r="A3" s="14">
        <v>2</v>
      </c>
      <c r="B3" s="15">
        <v>2022</v>
      </c>
      <c r="C3" s="17" t="s">
        <v>9</v>
      </c>
      <c r="D3" s="5" t="s">
        <v>10</v>
      </c>
      <c r="E3" s="6">
        <v>0.510202933506265</v>
      </c>
      <c r="F3" s="7" t="s">
        <v>8</v>
      </c>
    </row>
    <row r="4" ht="52.5" spans="1:6">
      <c r="A4" s="14">
        <v>3</v>
      </c>
      <c r="B4" s="15">
        <v>2005</v>
      </c>
      <c r="C4" s="5" t="s">
        <v>11</v>
      </c>
      <c r="D4" s="5" t="s">
        <v>12</v>
      </c>
      <c r="E4" s="6">
        <v>0.786453680199098</v>
      </c>
      <c r="F4" s="7" t="s">
        <v>8</v>
      </c>
    </row>
    <row r="5" ht="26.25" spans="1:6">
      <c r="A5" s="14">
        <v>4</v>
      </c>
      <c r="B5" s="15">
        <v>2012</v>
      </c>
      <c r="C5" s="17" t="s">
        <v>13</v>
      </c>
      <c r="D5" s="5" t="s">
        <v>14</v>
      </c>
      <c r="E5" s="6">
        <v>1.10260869565217</v>
      </c>
      <c r="F5" s="7" t="s">
        <v>8</v>
      </c>
    </row>
    <row r="6" ht="52.5" spans="1:6">
      <c r="A6" s="14">
        <v>5</v>
      </c>
      <c r="B6" s="15">
        <v>2014</v>
      </c>
      <c r="C6" s="5" t="s">
        <v>15</v>
      </c>
      <c r="D6" s="5" t="s">
        <v>16</v>
      </c>
      <c r="E6" s="6">
        <v>0.342685788787484</v>
      </c>
      <c r="F6" s="7" t="s">
        <v>8</v>
      </c>
    </row>
    <row r="7" ht="26.25" spans="1:6">
      <c r="A7" s="14">
        <v>6</v>
      </c>
      <c r="B7" s="15">
        <v>2026</v>
      </c>
      <c r="C7" s="5" t="s">
        <v>17</v>
      </c>
      <c r="D7" s="5" t="s">
        <v>18</v>
      </c>
      <c r="E7" s="6">
        <v>0.39</v>
      </c>
      <c r="F7" s="7" t="s">
        <v>19</v>
      </c>
    </row>
    <row r="8" spans="1:6">
      <c r="A8" s="14">
        <v>7</v>
      </c>
      <c r="B8" s="15">
        <v>2025</v>
      </c>
      <c r="C8" s="5" t="s">
        <v>20</v>
      </c>
      <c r="D8" s="5" t="s">
        <v>21</v>
      </c>
      <c r="E8" s="6">
        <v>0.84</v>
      </c>
      <c r="F8" s="7" t="s">
        <v>19</v>
      </c>
    </row>
    <row r="9" ht="26.25" spans="1:6">
      <c r="A9" s="14">
        <v>8</v>
      </c>
      <c r="B9" s="15">
        <v>2025</v>
      </c>
      <c r="C9" s="5" t="s">
        <v>22</v>
      </c>
      <c r="D9" s="5" t="s">
        <v>23</v>
      </c>
      <c r="E9" s="6">
        <v>0.245</v>
      </c>
      <c r="F9" s="7" t="s">
        <v>19</v>
      </c>
    </row>
    <row r="10" ht="26.25" spans="1:6">
      <c r="A10" s="14">
        <v>9</v>
      </c>
      <c r="B10" s="15">
        <v>2022</v>
      </c>
      <c r="C10" s="17" t="s">
        <v>24</v>
      </c>
      <c r="D10" s="5" t="s">
        <v>25</v>
      </c>
      <c r="E10" s="6">
        <v>0.510202933506265</v>
      </c>
      <c r="F10" s="7" t="s">
        <v>19</v>
      </c>
    </row>
    <row r="11" ht="26.25" spans="1:6">
      <c r="A11" s="14">
        <v>10</v>
      </c>
      <c r="B11" s="15">
        <v>2022</v>
      </c>
      <c r="C11" s="17" t="s">
        <v>26</v>
      </c>
      <c r="D11" s="5" t="s">
        <v>25</v>
      </c>
      <c r="E11" s="6" t="s">
        <v>27</v>
      </c>
      <c r="F11" s="7" t="s">
        <v>19</v>
      </c>
    </row>
    <row r="12" ht="26.25" spans="1:6">
      <c r="A12" s="14">
        <v>11</v>
      </c>
      <c r="B12" s="15">
        <v>2026</v>
      </c>
      <c r="C12" s="17" t="s">
        <v>28</v>
      </c>
      <c r="D12" s="5" t="s">
        <v>29</v>
      </c>
      <c r="E12" s="6" t="s">
        <v>27</v>
      </c>
      <c r="F12" s="7" t="s">
        <v>19</v>
      </c>
    </row>
    <row r="13" ht="26.25" spans="1:6">
      <c r="A13" s="14">
        <v>12</v>
      </c>
      <c r="B13" s="15">
        <v>2024</v>
      </c>
      <c r="C13" s="5" t="s">
        <v>30</v>
      </c>
      <c r="D13" s="5" t="s">
        <v>31</v>
      </c>
      <c r="E13" s="6" t="s">
        <v>27</v>
      </c>
      <c r="F13" s="7" t="s">
        <v>19</v>
      </c>
    </row>
    <row r="14" spans="1:6">
      <c r="A14" s="18">
        <v>13</v>
      </c>
      <c r="B14" s="19">
        <v>2023</v>
      </c>
      <c r="C14" s="9" t="s">
        <v>32</v>
      </c>
      <c r="D14" s="9" t="s">
        <v>33</v>
      </c>
      <c r="E14" s="10">
        <v>0.763713110236651</v>
      </c>
      <c r="F14" s="11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M6"/>
  <sheetViews>
    <sheetView workbookViewId="0">
      <selection activeCell="B27" sqref="B27"/>
    </sheetView>
  </sheetViews>
  <sheetFormatPr defaultColWidth="9" defaultRowHeight="13.5" outlineLevelRow="5"/>
  <cols>
    <col min="1" max="1" width="8" customWidth="1"/>
    <col min="2" max="2" width="34" customWidth="1"/>
    <col min="3" max="3" width="11" customWidth="1"/>
    <col min="4" max="4" width="26" customWidth="1"/>
    <col min="5" max="9" width="7" customWidth="1"/>
    <col min="10" max="12" width="10" customWidth="1"/>
    <col min="13" max="13" width="12" customWidth="1"/>
  </cols>
  <sheetData>
    <row r="1" ht="15" customHeight="1" spans="1:13">
      <c r="A1" s="1" t="s">
        <v>0</v>
      </c>
      <c r="B1" s="2" t="s">
        <v>2</v>
      </c>
      <c r="C1" s="2" t="s">
        <v>1</v>
      </c>
      <c r="D1" s="2" t="s">
        <v>4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2" t="s">
        <v>40</v>
      </c>
      <c r="L1" s="12" t="s">
        <v>41</v>
      </c>
      <c r="M1" s="13" t="s">
        <v>42</v>
      </c>
    </row>
    <row r="2" ht="15" customHeight="1" spans="1:13">
      <c r="A2" s="14">
        <v>1</v>
      </c>
      <c r="B2" s="5" t="s">
        <v>6</v>
      </c>
      <c r="C2" s="15">
        <v>2019</v>
      </c>
      <c r="D2" s="6">
        <v>0.47044</v>
      </c>
      <c r="E2" s="15">
        <v>2</v>
      </c>
      <c r="F2" s="15">
        <v>1</v>
      </c>
      <c r="G2" s="15">
        <v>2</v>
      </c>
      <c r="H2" s="15">
        <v>1</v>
      </c>
      <c r="I2" s="15">
        <v>3</v>
      </c>
      <c r="J2" s="6">
        <f>AVERAGE(E2:I2)</f>
        <v>1.8</v>
      </c>
      <c r="K2" s="6">
        <f>(5-J2)/4</f>
        <v>0.8</v>
      </c>
      <c r="L2" s="6">
        <f>K2/SUM($K$2:$K$6)</f>
        <v>0.238805970149254</v>
      </c>
      <c r="M2" s="16">
        <f>L2*LN(D2)</f>
        <v>-0.18008044226849</v>
      </c>
    </row>
    <row r="3" ht="15" customHeight="1" spans="1:13">
      <c r="A3" s="14">
        <v>2</v>
      </c>
      <c r="B3" s="17" t="s">
        <v>9</v>
      </c>
      <c r="C3" s="15">
        <v>2022</v>
      </c>
      <c r="D3" s="6">
        <v>0.510202933506265</v>
      </c>
      <c r="E3" s="15">
        <v>3</v>
      </c>
      <c r="F3" s="15">
        <v>3</v>
      </c>
      <c r="G3" s="15">
        <v>1</v>
      </c>
      <c r="H3" s="15">
        <v>1</v>
      </c>
      <c r="I3" s="15">
        <v>2</v>
      </c>
      <c r="J3" s="6">
        <f>AVERAGE(E3:I3)</f>
        <v>2</v>
      </c>
      <c r="K3" s="6">
        <f>(5-J3)/4</f>
        <v>0.75</v>
      </c>
      <c r="L3" s="6">
        <f>K3/SUM($K$2:$K$6)</f>
        <v>0.223880597014925</v>
      </c>
      <c r="M3" s="16">
        <f>L3*LN(D3)</f>
        <v>-0.150659714232689</v>
      </c>
    </row>
    <row r="4" ht="15" customHeight="1" spans="1:13">
      <c r="A4" s="14">
        <v>3</v>
      </c>
      <c r="B4" s="5" t="s">
        <v>11</v>
      </c>
      <c r="C4" s="15">
        <v>2005</v>
      </c>
      <c r="D4" s="6">
        <v>0.786453680199098</v>
      </c>
      <c r="E4" s="15">
        <v>1</v>
      </c>
      <c r="F4" s="15">
        <v>2</v>
      </c>
      <c r="G4" s="15">
        <v>1</v>
      </c>
      <c r="H4" s="15">
        <v>3</v>
      </c>
      <c r="I4" s="15">
        <v>5</v>
      </c>
      <c r="J4" s="6">
        <f>AVERAGE(E4:I4)</f>
        <v>2.4</v>
      </c>
      <c r="K4" s="6">
        <f>(5-J4)/4</f>
        <v>0.65</v>
      </c>
      <c r="L4" s="6">
        <f>K4/SUM($K$2:$K$6)</f>
        <v>0.194029850746269</v>
      </c>
      <c r="M4" s="16">
        <f>L4*LN(D4)</f>
        <v>-0.0466101324384945</v>
      </c>
    </row>
    <row r="5" ht="15" customHeight="1" spans="1:13">
      <c r="A5" s="14">
        <v>4</v>
      </c>
      <c r="B5" s="17" t="s">
        <v>13</v>
      </c>
      <c r="C5" s="15">
        <v>2012</v>
      </c>
      <c r="D5" s="6">
        <v>1.10260869565217</v>
      </c>
      <c r="E5" s="15">
        <v>1</v>
      </c>
      <c r="F5" s="15">
        <v>2</v>
      </c>
      <c r="G5" s="15">
        <v>1</v>
      </c>
      <c r="H5" s="15">
        <v>3</v>
      </c>
      <c r="I5" s="15">
        <v>5</v>
      </c>
      <c r="J5" s="6">
        <f>AVERAGE(E5:I5)</f>
        <v>2.4</v>
      </c>
      <c r="K5" s="6">
        <f>(5-J5)/4</f>
        <v>0.65</v>
      </c>
      <c r="L5" s="6">
        <f>K5/SUM($K$2:$K$6)</f>
        <v>0.194029850746269</v>
      </c>
      <c r="M5" s="16">
        <f>L5*LN(D5)</f>
        <v>0.0189526250346027</v>
      </c>
    </row>
    <row r="6" ht="15" customHeight="1" spans="1:13">
      <c r="A6" s="18">
        <v>5</v>
      </c>
      <c r="B6" s="9" t="s">
        <v>15</v>
      </c>
      <c r="C6" s="19">
        <v>2014</v>
      </c>
      <c r="D6" s="10">
        <v>0.342685788787484</v>
      </c>
      <c r="E6" s="19">
        <v>2</v>
      </c>
      <c r="F6" s="19">
        <v>3</v>
      </c>
      <c r="G6" s="19">
        <v>2</v>
      </c>
      <c r="H6" s="19">
        <v>4</v>
      </c>
      <c r="I6" s="19">
        <v>4</v>
      </c>
      <c r="J6" s="10">
        <f>AVERAGE(E6:I6)</f>
        <v>3</v>
      </c>
      <c r="K6" s="10">
        <f>(5-J6)/4</f>
        <v>0.5</v>
      </c>
      <c r="L6" s="10">
        <f>K6/SUM($K$2:$K$6)</f>
        <v>0.149253731343284</v>
      </c>
      <c r="M6" s="20">
        <f>L6*LN(D6)</f>
        <v>-0.159841987960834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4"/>
  <sheetViews>
    <sheetView workbookViewId="0">
      <selection activeCell="C13" sqref="C13"/>
    </sheetView>
  </sheetViews>
  <sheetFormatPr defaultColWidth="9" defaultRowHeight="13.5" outlineLevelRow="3" outlineLevelCol="3"/>
  <cols>
    <col min="1" max="1" width="22" customWidth="1"/>
    <col min="2" max="2" width="12" customWidth="1"/>
    <col min="3" max="3" width="28" customWidth="1"/>
    <col min="4" max="4" width="14" customWidth="1"/>
  </cols>
  <sheetData>
    <row r="1" ht="15" customHeight="1" spans="1:4">
      <c r="A1" s="1" t="s">
        <v>43</v>
      </c>
      <c r="B1" s="2" t="s">
        <v>44</v>
      </c>
      <c r="C1" s="2" t="s">
        <v>45</v>
      </c>
      <c r="D1" s="3" t="s">
        <v>46</v>
      </c>
    </row>
    <row r="2" ht="15" customHeight="1" spans="1:4">
      <c r="A2" s="4" t="s">
        <v>47</v>
      </c>
      <c r="B2" s="5" t="s">
        <v>48</v>
      </c>
      <c r="C2" s="6">
        <f>EXP(SUM('02_评分与权重'!M2:M6))</f>
        <v>0.595568032805985</v>
      </c>
      <c r="D2" s="7" t="s">
        <v>49</v>
      </c>
    </row>
    <row r="3" ht="15" customHeight="1" spans="1:4">
      <c r="A3" s="4" t="s">
        <v>50</v>
      </c>
      <c r="B3" s="5" t="s">
        <v>51</v>
      </c>
      <c r="C3" s="6">
        <f>AVERAGE('02_评分与权重'!D2:D6)</f>
        <v>0.642478219629004</v>
      </c>
      <c r="D3" s="7" t="s">
        <v>52</v>
      </c>
    </row>
    <row r="4" ht="15" customHeight="1" spans="1:4">
      <c r="A4" s="8" t="s">
        <v>53</v>
      </c>
      <c r="B4" s="9" t="s">
        <v>54</v>
      </c>
      <c r="C4" s="10">
        <f>GEOMEAN('02_评分与权重'!D2:D6)</f>
        <v>0.58972232608843</v>
      </c>
      <c r="D4" s="11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01_数据来源</vt:lpstr>
      <vt:lpstr>02_评分与权重</vt:lpstr>
      <vt:lpstr>03_最终结果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朱易成</dc:creator>
  <cp:lastModifiedBy>朱易成</cp:lastModifiedBy>
  <dcterms:created xsi:type="dcterms:W3CDTF">2026-09-02T03:57:00Z</dcterms:created>
  <dcterms:modified xsi:type="dcterms:W3CDTF">2026-09-02T04:15:24Z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D8B535EDEB674EA2AC07D84F7E00AFAC_12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