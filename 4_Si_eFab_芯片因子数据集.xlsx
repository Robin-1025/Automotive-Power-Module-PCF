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与准入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<sst xmlns="http://schemas.openxmlformats.org/spreadsheetml/2006/main" count="177" uniqueCount="62">
  <si>
    <t>编号</t>
  </si>
  <si>
    <t>数据年份</t>
  </si>
  <si>
    <t>来源</t>
  </si>
  <si>
    <t>来源地址</t>
  </si>
  <si>
    <r>
      <rPr>
        <b/>
        <sz val="11"/>
        <color rgb="FF000000"/>
        <rFont val="宋体"/>
        <charset val="134"/>
      </rPr>
      <t>归一化因子（</t>
    </r>
    <r>
      <rPr>
        <b/>
        <sz val="11"/>
        <color rgb="FF000000"/>
        <rFont val="Times New Roman"/>
        <charset val="134"/>
      </rPr>
      <t>kgCO</t>
    </r>
    <r>
      <rPr>
        <b/>
        <vertAlign val="sub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e/cm</t>
    </r>
    <r>
      <rPr>
        <b/>
        <vertAlign val="super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 xml:space="preserve"> physical wafer</t>
    </r>
    <r>
      <rPr>
        <b/>
        <sz val="11"/>
        <color rgb="FF000000"/>
        <rFont val="宋体"/>
        <charset val="134"/>
      </rPr>
      <t>）</t>
    </r>
  </si>
  <si>
    <t>准入等级</t>
  </si>
  <si>
    <t>是否纳入基准</t>
  </si>
  <si>
    <r>
      <rPr>
        <sz val="10"/>
        <rFont val="Times New Roman"/>
        <charset val="134"/>
      </rPr>
      <t>Nuvoton</t>
    </r>
  </si>
  <si>
    <t>https://esg.nuvoton.com/en/resource/download</t>
  </si>
  <si>
    <r>
      <rPr>
        <sz val="10"/>
        <rFont val="Times New Roman"/>
        <charset val="134"/>
      </rPr>
      <t>C</t>
    </r>
  </si>
  <si>
    <r>
      <rPr>
        <sz val="10"/>
        <rFont val="宋体"/>
        <charset val="134"/>
      </rPr>
      <t>是</t>
    </r>
  </si>
  <si>
    <r>
      <rPr>
        <sz val="10"/>
        <rFont val="Times New Roman"/>
        <charset val="134"/>
      </rPr>
      <t>Winbond</t>
    </r>
  </si>
  <si>
    <t>https://esg.winbond.com/resource/index</t>
  </si>
  <si>
    <r>
      <rPr>
        <sz val="10"/>
        <rFont val="Times New Roman"/>
        <charset val="134"/>
      </rPr>
      <t>D</t>
    </r>
  </si>
  <si>
    <r>
      <rPr>
        <sz val="10"/>
        <rFont val="宋体"/>
        <charset val="134"/>
      </rPr>
      <t>否</t>
    </r>
  </si>
  <si>
    <r>
      <rPr>
        <sz val="10"/>
        <rFont val="Times New Roman"/>
        <charset val="134"/>
      </rPr>
      <t>Nanya</t>
    </r>
  </si>
  <si>
    <t>https://www.nanya.com/ESG/dl_files/2024_Sustainability_Report_Green.pdf</t>
  </si>
  <si>
    <r>
      <rPr>
        <sz val="10"/>
        <rFont val="Times New Roman"/>
        <charset val="134"/>
      </rPr>
      <t>PSMC</t>
    </r>
  </si>
  <si>
    <t>https://esg.powerchip.com/</t>
  </si>
  <si>
    <r>
      <rPr>
        <sz val="10"/>
        <rFont val="Times New Roman"/>
        <charset val="134"/>
      </rPr>
      <t>HuaHong</t>
    </r>
  </si>
  <si>
    <t>https://www1.hkexnews.hk/listedco/listconews/sehk/2026/0409/2026040901617.pdf</t>
  </si>
  <si>
    <r>
      <rPr>
        <sz val="10"/>
        <rFont val="Times New Roman"/>
        <charset val="134"/>
      </rPr>
      <t>UMC</t>
    </r>
  </si>
  <si>
    <t>https://www.umc.com/en/Download/annual_reports</t>
  </si>
  <si>
    <r>
      <rPr>
        <sz val="10"/>
        <rFont val="Times New Roman"/>
        <charset val="134"/>
      </rPr>
      <t>United Nova Technology</t>
    </r>
  </si>
  <si>
    <t>https://vip.stock.finance.sina.com.cn/corp/view/vCB_AllBulletinDetail.php?id=12120047</t>
  </si>
  <si>
    <r>
      <rPr>
        <sz val="10"/>
        <rFont val="Times New Roman"/>
        <charset val="134"/>
      </rPr>
      <t>VIS</t>
    </r>
  </si>
  <si>
    <t>https://www.vis.com.tw/assets/pdf/VIS%202024%20Sustainability%20Report_ENG.pdf</t>
  </si>
  <si>
    <t>未提供</t>
  </si>
  <si>
    <r>
      <rPr>
        <sz val="10"/>
        <rFont val="Times New Roman"/>
        <charset val="134"/>
      </rPr>
      <t>PELCA-IGBT-2026</t>
    </r>
  </si>
  <si>
    <t>https://www.mdpi.com/2071-1050/18/5/2663</t>
  </si>
  <si>
    <r>
      <rPr>
        <sz val="10"/>
        <rFont val="Times New Roman"/>
        <charset val="134"/>
      </rPr>
      <t>DBHiTek-EPD</t>
    </r>
  </si>
  <si>
    <t>https://www.dbhitek.co.kr/resources/cn/file/sustainability/environment/environment_management/ESH_Environmental_Product_Declaration-230227-260226.pdf</t>
  </si>
  <si>
    <r>
      <rPr>
        <sz val="10"/>
        <rFont val="Times New Roman"/>
        <charset val="134"/>
      </rPr>
      <t>Musil-PCIM-2023</t>
    </r>
  </si>
  <si>
    <t>https://doi.org/10.30420/566091368</t>
  </si>
  <si>
    <r>
      <rPr>
        <sz val="10"/>
        <rFont val="Times New Roman"/>
        <charset val="134"/>
      </rPr>
      <t>Boakes-IEDM-2023</t>
    </r>
  </si>
  <si>
    <t>https://doi.org/10.1109/IEDM45741.2023.10413725</t>
  </si>
  <si>
    <t>来源族</t>
  </si>
  <si>
    <t>R</t>
  </si>
  <si>
    <t>C</t>
  </si>
  <si>
    <t>Te</t>
  </si>
  <si>
    <t>G</t>
  </si>
  <si>
    <t>T</t>
  </si>
  <si>
    <t>DQR</t>
  </si>
  <si>
    <t>Q</t>
  </si>
  <si>
    <t>n_f</t>
  </si>
  <si>
    <t>d</t>
  </si>
  <si>
    <t>w</t>
  </si>
  <si>
    <t>W</t>
  </si>
  <si>
    <t>w·ln(e)</t>
  </si>
  <si>
    <r>
      <rPr>
        <sz val="10"/>
        <rFont val="Times New Roman"/>
        <charset val="134"/>
      </rPr>
      <t>UnitedNova</t>
    </r>
  </si>
  <si>
    <t>方法</t>
  </si>
  <si>
    <t>符号</t>
  </si>
  <si>
    <r>
      <rPr>
        <b/>
        <sz val="10"/>
        <rFont val="宋体"/>
        <charset val="134"/>
      </rPr>
      <t>最终结果（</t>
    </r>
    <r>
      <rPr>
        <b/>
        <sz val="10"/>
        <rFont val="Times New Roman"/>
        <charset val="134"/>
      </rPr>
      <t>kgCO</t>
    </r>
    <r>
      <rPr>
        <b/>
        <vertAlign val="subscript"/>
        <sz val="10"/>
        <rFont val="Times New Roman"/>
        <charset val="134"/>
      </rPr>
      <t>2</t>
    </r>
    <r>
      <rPr>
        <b/>
        <sz val="10"/>
        <rFont val="Times New Roman"/>
        <charset val="134"/>
      </rPr>
      <t>e/cm</t>
    </r>
    <r>
      <rPr>
        <b/>
        <vertAlign val="superscript"/>
        <sz val="10"/>
        <rFont val="Times New Roman"/>
        <charset val="134"/>
      </rPr>
      <t>2</t>
    </r>
    <r>
      <rPr>
        <b/>
        <sz val="10"/>
        <rFont val="Times New Roman"/>
        <charset val="134"/>
      </rPr>
      <t xml:space="preserve"> physical wafer</t>
    </r>
    <r>
      <rPr>
        <b/>
        <sz val="10"/>
        <rFont val="宋体"/>
        <charset val="134"/>
      </rPr>
      <t>）</t>
    </r>
  </si>
  <si>
    <t>用途</t>
  </si>
  <si>
    <r>
      <rPr>
        <sz val="10"/>
        <rFont val="宋体"/>
        <charset val="134"/>
      </rPr>
      <t>质量加权几何均值</t>
    </r>
  </si>
  <si>
    <r>
      <rPr>
        <sz val="10"/>
        <rFont val="Times New Roman"/>
        <charset val="134"/>
      </rPr>
      <t>QWGM</t>
    </r>
  </si>
  <si>
    <r>
      <rPr>
        <sz val="10"/>
        <rFont val="宋体"/>
        <charset val="134"/>
      </rPr>
      <t>基准值</t>
    </r>
  </si>
  <si>
    <r>
      <rPr>
        <sz val="10"/>
        <rFont val="宋体"/>
        <charset val="134"/>
      </rPr>
      <t>等权算术均值</t>
    </r>
  </si>
  <si>
    <r>
      <rPr>
        <sz val="10"/>
        <rFont val="Times New Roman"/>
        <charset val="134"/>
      </rPr>
      <t>AM</t>
    </r>
  </si>
  <si>
    <r>
      <rPr>
        <sz val="10"/>
        <rFont val="宋体"/>
        <charset val="134"/>
      </rPr>
      <t>对照值</t>
    </r>
  </si>
  <si>
    <r>
      <rPr>
        <sz val="10"/>
        <rFont val="宋体"/>
        <charset val="134"/>
      </rPr>
      <t>等权几何均值</t>
    </r>
  </si>
  <si>
    <r>
      <rPr>
        <sz val="10"/>
        <rFont val="Times New Roman"/>
        <charset val="134"/>
      </rPr>
      <t>GM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</si>
</sst>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0"/>
  </numFmts>
  <fonts count="33">
    <font>
      <sz val="11"/>
      <name val="Carlito"/>
      <charset val="134"/>
    </font>
    <font>
      <b/>
      <sz val="11"/>
      <name val="Carlito"/>
      <charset val="134"/>
    </font>
    <font>
      <b/>
      <sz val="10"/>
      <name val="宋体"/>
      <charset val="134"/>
    </font>
    <font>
      <sz val="10"/>
      <color rgb="FF000000"/>
      <name val="Times New Roman"/>
      <charset val="134"/>
    </font>
    <font>
      <b/>
      <sz val="11"/>
      <color rgb="FF000000"/>
      <name val="宋体"/>
      <charset val="134"/>
    </font>
    <font>
      <b/>
      <sz val="10"/>
      <name val="Times New Roman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sz val="11"/>
      <color rgb="FF000000"/>
      <name val="Times New Roman"/>
      <charset val="134"/>
    </font>
    <font>
      <b/>
      <vertAlign val="subscript"/>
      <sz val="11"/>
      <color rgb="FF000000"/>
      <name val="Times New Roman"/>
      <charset val="134"/>
    </font>
    <font>
      <b/>
      <vertAlign val="superscript"/>
      <sz val="11"/>
      <color rgb="FF00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vertAlign val="subscript"/>
      <sz val="10"/>
      <name val="Times New Roman"/>
      <charset val="134"/>
    </font>
    <font>
      <b/>
      <vertAlign val="superscript"/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Font="1"/>
    <xf numFmtId="0" fontId="2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1"/>
  <sheetViews>
    <sheetView tabSelected="1" workbookViewId="0">
      <selection activeCell="E1" sqref="E1"/>
    </sheetView>
  </sheetViews>
  <sheetFormatPr defaultColWidth="9" defaultRowHeight="13.5" outlineLevelCol="6"/>
  <cols>
    <col min="1" max="1" width="8" customWidth="1"/>
    <col min="2" max="2" width="12" customWidth="1"/>
    <col min="3" max="3" width="22" customWidth="1"/>
    <col min="4" max="4" width="44" customWidth="1"/>
    <col min="5" max="5" width="28" customWidth="1"/>
    <col min="6" max="6" width="11" customWidth="1"/>
    <col min="7" max="7" width="13" customWidth="1"/>
  </cols>
  <sheetData>
    <row r="1" s="1" customFormat="1" ht="34" customHeight="1" spans="1:7">
      <c r="A1" s="2" t="s">
        <v>0</v>
      </c>
      <c r="B1" s="6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</row>
    <row r="2" ht="42" customHeight="1" spans="1:7">
      <c r="A2" s="3">
        <v>1</v>
      </c>
      <c r="B2" s="3">
        <v>2021</v>
      </c>
      <c r="C2" s="3" t="s">
        <v>7</v>
      </c>
      <c r="D2" s="3" t="s">
        <v>8</v>
      </c>
      <c r="E2" s="4">
        <v>0.95</v>
      </c>
      <c r="F2" s="3" t="s">
        <v>9</v>
      </c>
      <c r="G2" s="3" t="s">
        <v>10</v>
      </c>
    </row>
    <row r="3" ht="42" customHeight="1" spans="1:7">
      <c r="A3" s="3">
        <v>2</v>
      </c>
      <c r="B3" s="3">
        <v>2022</v>
      </c>
      <c r="C3" s="3" t="s">
        <v>7</v>
      </c>
      <c r="D3" s="3" t="s">
        <v>8</v>
      </c>
      <c r="E3" s="4">
        <v>0.98</v>
      </c>
      <c r="F3" s="3" t="s">
        <v>9</v>
      </c>
      <c r="G3" s="3" t="s">
        <v>10</v>
      </c>
    </row>
    <row r="4" ht="42" customHeight="1" spans="1:7">
      <c r="A4" s="3">
        <v>3</v>
      </c>
      <c r="B4" s="3">
        <v>2023</v>
      </c>
      <c r="C4" s="3" t="s">
        <v>7</v>
      </c>
      <c r="D4" s="3" t="s">
        <v>8</v>
      </c>
      <c r="E4" s="4">
        <v>0.78</v>
      </c>
      <c r="F4" s="3" t="s">
        <v>9</v>
      </c>
      <c r="G4" s="3" t="s">
        <v>10</v>
      </c>
    </row>
    <row r="5" ht="42" customHeight="1" spans="1:7">
      <c r="A5" s="3">
        <v>4</v>
      </c>
      <c r="B5" s="3">
        <v>2024</v>
      </c>
      <c r="C5" s="3" t="s">
        <v>7</v>
      </c>
      <c r="D5" s="3" t="s">
        <v>8</v>
      </c>
      <c r="E5" s="4">
        <v>0.59</v>
      </c>
      <c r="F5" s="3" t="s">
        <v>9</v>
      </c>
      <c r="G5" s="3" t="s">
        <v>10</v>
      </c>
    </row>
    <row r="6" ht="42" customHeight="1" spans="1:7">
      <c r="A6" s="3">
        <v>5</v>
      </c>
      <c r="B6" s="3">
        <v>2024</v>
      </c>
      <c r="C6" s="3" t="s">
        <v>11</v>
      </c>
      <c r="D6" s="3" t="s">
        <v>12</v>
      </c>
      <c r="E6" s="4">
        <v>0.76</v>
      </c>
      <c r="F6" s="3" t="s">
        <v>13</v>
      </c>
      <c r="G6" s="3" t="s">
        <v>14</v>
      </c>
    </row>
    <row r="7" ht="42" customHeight="1" spans="1:7">
      <c r="A7" s="3">
        <v>6</v>
      </c>
      <c r="B7" s="3">
        <v>2024</v>
      </c>
      <c r="C7" s="3" t="s">
        <v>15</v>
      </c>
      <c r="D7" s="3" t="s">
        <v>16</v>
      </c>
      <c r="E7" s="4">
        <v>0.88</v>
      </c>
      <c r="F7" s="3" t="s">
        <v>13</v>
      </c>
      <c r="G7" s="3" t="s">
        <v>14</v>
      </c>
    </row>
    <row r="8" ht="42" customHeight="1" spans="1:7">
      <c r="A8" s="3">
        <v>7</v>
      </c>
      <c r="B8" s="3">
        <v>2019</v>
      </c>
      <c r="C8" s="3" t="s">
        <v>17</v>
      </c>
      <c r="D8" s="3" t="s">
        <v>18</v>
      </c>
      <c r="E8" s="4">
        <v>0.637</v>
      </c>
      <c r="F8" s="3" t="s">
        <v>9</v>
      </c>
      <c r="G8" s="3" t="s">
        <v>10</v>
      </c>
    </row>
    <row r="9" ht="42" customHeight="1" spans="1:7">
      <c r="A9" s="3">
        <v>8</v>
      </c>
      <c r="B9" s="3">
        <v>2020</v>
      </c>
      <c r="C9" s="3" t="s">
        <v>17</v>
      </c>
      <c r="D9" s="3" t="s">
        <v>18</v>
      </c>
      <c r="E9" s="4">
        <v>0.548</v>
      </c>
      <c r="F9" s="3" t="s">
        <v>9</v>
      </c>
      <c r="G9" s="3" t="s">
        <v>10</v>
      </c>
    </row>
    <row r="10" ht="42" customHeight="1" spans="1:7">
      <c r="A10" s="3">
        <v>9</v>
      </c>
      <c r="B10" s="3">
        <v>2021</v>
      </c>
      <c r="C10" s="3" t="s">
        <v>17</v>
      </c>
      <c r="D10" s="3" t="s">
        <v>18</v>
      </c>
      <c r="E10" s="4">
        <v>0.505</v>
      </c>
      <c r="F10" s="3" t="s">
        <v>9</v>
      </c>
      <c r="G10" s="3" t="s">
        <v>10</v>
      </c>
    </row>
    <row r="11" ht="42" customHeight="1" spans="1:7">
      <c r="A11" s="3">
        <v>10</v>
      </c>
      <c r="B11" s="3">
        <v>2022</v>
      </c>
      <c r="C11" s="3" t="s">
        <v>17</v>
      </c>
      <c r="D11" s="3" t="s">
        <v>18</v>
      </c>
      <c r="E11" s="4">
        <v>0.506</v>
      </c>
      <c r="F11" s="3" t="s">
        <v>9</v>
      </c>
      <c r="G11" s="3" t="s">
        <v>10</v>
      </c>
    </row>
    <row r="12" ht="42" customHeight="1" spans="1:7">
      <c r="A12" s="3">
        <v>11</v>
      </c>
      <c r="B12" s="3">
        <v>2023</v>
      </c>
      <c r="C12" s="3" t="s">
        <v>19</v>
      </c>
      <c r="D12" s="3" t="s">
        <v>20</v>
      </c>
      <c r="E12" s="4">
        <v>0.445633840657307</v>
      </c>
      <c r="F12" s="3" t="s">
        <v>9</v>
      </c>
      <c r="G12" s="3" t="s">
        <v>10</v>
      </c>
    </row>
    <row r="13" ht="42" customHeight="1" spans="1:7">
      <c r="A13" s="3">
        <v>12</v>
      </c>
      <c r="B13" s="3">
        <v>2024</v>
      </c>
      <c r="C13" s="3" t="s">
        <v>19</v>
      </c>
      <c r="D13" s="3" t="s">
        <v>20</v>
      </c>
      <c r="E13" s="4">
        <v>0.381971863420549</v>
      </c>
      <c r="F13" s="3" t="s">
        <v>9</v>
      </c>
      <c r="G13" s="3" t="s">
        <v>10</v>
      </c>
    </row>
    <row r="14" ht="42" customHeight="1" spans="1:7">
      <c r="A14" s="3">
        <v>13</v>
      </c>
      <c r="B14" s="3">
        <v>2025</v>
      </c>
      <c r="C14" s="3" t="s">
        <v>19</v>
      </c>
      <c r="D14" s="3" t="s">
        <v>20</v>
      </c>
      <c r="E14" s="4">
        <v>0.477464829275687</v>
      </c>
      <c r="F14" s="3" t="s">
        <v>9</v>
      </c>
      <c r="G14" s="3" t="s">
        <v>10</v>
      </c>
    </row>
    <row r="15" ht="42" customHeight="1" spans="1:7">
      <c r="A15" s="3">
        <v>14</v>
      </c>
      <c r="B15" s="3">
        <v>2022</v>
      </c>
      <c r="C15" s="3" t="s">
        <v>21</v>
      </c>
      <c r="D15" s="3" t="s">
        <v>22</v>
      </c>
      <c r="E15" s="4">
        <v>0.791</v>
      </c>
      <c r="F15" s="3" t="s">
        <v>9</v>
      </c>
      <c r="G15" s="3" t="s">
        <v>10</v>
      </c>
    </row>
    <row r="16" ht="42" customHeight="1" spans="1:7">
      <c r="A16" s="3">
        <v>15</v>
      </c>
      <c r="B16" s="3">
        <v>2023</v>
      </c>
      <c r="C16" s="3" t="s">
        <v>21</v>
      </c>
      <c r="D16" s="3" t="s">
        <v>22</v>
      </c>
      <c r="E16" s="4">
        <v>0.935</v>
      </c>
      <c r="F16" s="3" t="s">
        <v>9</v>
      </c>
      <c r="G16" s="3" t="s">
        <v>10</v>
      </c>
    </row>
    <row r="17" ht="42" customHeight="1" spans="1:7">
      <c r="A17" s="3">
        <v>16</v>
      </c>
      <c r="B17" s="3">
        <v>2025</v>
      </c>
      <c r="C17" s="3" t="s">
        <v>23</v>
      </c>
      <c r="D17" s="3" t="s">
        <v>24</v>
      </c>
      <c r="E17" s="4">
        <v>0.5366</v>
      </c>
      <c r="F17" s="3" t="s">
        <v>9</v>
      </c>
      <c r="G17" s="3" t="s">
        <v>10</v>
      </c>
    </row>
    <row r="18" ht="42" customHeight="1" spans="1:7">
      <c r="A18" s="3">
        <v>17</v>
      </c>
      <c r="B18" s="3">
        <v>2020</v>
      </c>
      <c r="C18" s="3" t="s">
        <v>25</v>
      </c>
      <c r="D18" s="3" t="s">
        <v>26</v>
      </c>
      <c r="E18" s="4" t="s">
        <v>27</v>
      </c>
      <c r="F18" s="3" t="s">
        <v>13</v>
      </c>
      <c r="G18" s="3" t="s">
        <v>14</v>
      </c>
    </row>
    <row r="19" ht="42" customHeight="1" spans="1:7">
      <c r="A19" s="3">
        <v>18</v>
      </c>
      <c r="B19" s="3">
        <v>2021</v>
      </c>
      <c r="C19" s="3" t="s">
        <v>25</v>
      </c>
      <c r="D19" s="3" t="s">
        <v>26</v>
      </c>
      <c r="E19" s="4" t="s">
        <v>27</v>
      </c>
      <c r="F19" s="3" t="s">
        <v>13</v>
      </c>
      <c r="G19" s="3" t="s">
        <v>14</v>
      </c>
    </row>
    <row r="20" ht="42" customHeight="1" spans="1:7">
      <c r="A20" s="3">
        <v>19</v>
      </c>
      <c r="B20" s="3">
        <v>2022</v>
      </c>
      <c r="C20" s="3" t="s">
        <v>25</v>
      </c>
      <c r="D20" s="3" t="s">
        <v>26</v>
      </c>
      <c r="E20" s="4" t="s">
        <v>27</v>
      </c>
      <c r="F20" s="3" t="s">
        <v>13</v>
      </c>
      <c r="G20" s="3" t="s">
        <v>14</v>
      </c>
    </row>
    <row r="21" ht="42" customHeight="1" spans="1:7">
      <c r="A21" s="3">
        <v>20</v>
      </c>
      <c r="B21" s="3">
        <v>2023</v>
      </c>
      <c r="C21" s="3" t="s">
        <v>25</v>
      </c>
      <c r="D21" s="3" t="s">
        <v>26</v>
      </c>
      <c r="E21" s="4" t="s">
        <v>27</v>
      </c>
      <c r="F21" s="3" t="s">
        <v>13</v>
      </c>
      <c r="G21" s="3" t="s">
        <v>14</v>
      </c>
    </row>
    <row r="22" ht="42" customHeight="1" spans="1:7">
      <c r="A22" s="3">
        <v>21</v>
      </c>
      <c r="B22" s="3">
        <v>2026</v>
      </c>
      <c r="C22" s="3" t="s">
        <v>28</v>
      </c>
      <c r="D22" s="3" t="s">
        <v>29</v>
      </c>
      <c r="E22" s="4" t="s">
        <v>27</v>
      </c>
      <c r="F22" s="3" t="s">
        <v>13</v>
      </c>
      <c r="G22" s="3" t="s">
        <v>14</v>
      </c>
    </row>
    <row r="23" ht="42" customHeight="1" spans="1:7">
      <c r="A23" s="3">
        <v>22</v>
      </c>
      <c r="B23" s="3">
        <v>2026</v>
      </c>
      <c r="C23" s="3" t="s">
        <v>28</v>
      </c>
      <c r="D23" s="3" t="s">
        <v>29</v>
      </c>
      <c r="E23" s="4" t="s">
        <v>27</v>
      </c>
      <c r="F23" s="3" t="s">
        <v>13</v>
      </c>
      <c r="G23" s="3" t="s">
        <v>14</v>
      </c>
    </row>
    <row r="24" ht="42" customHeight="1" spans="1:7">
      <c r="A24" s="3">
        <v>23</v>
      </c>
      <c r="B24" s="3">
        <v>2023</v>
      </c>
      <c r="C24" s="3" t="s">
        <v>30</v>
      </c>
      <c r="D24" s="3" t="s">
        <v>31</v>
      </c>
      <c r="E24" s="9">
        <v>1.075887</v>
      </c>
      <c r="F24" s="3" t="s">
        <v>13</v>
      </c>
      <c r="G24" s="3" t="s">
        <v>14</v>
      </c>
    </row>
    <row r="25" ht="42" customHeight="1" spans="1:7">
      <c r="A25" s="3">
        <v>24</v>
      </c>
      <c r="B25" s="3">
        <v>2023</v>
      </c>
      <c r="C25" s="3" t="s">
        <v>32</v>
      </c>
      <c r="D25" s="3" t="s">
        <v>33</v>
      </c>
      <c r="E25" s="10">
        <v>2.73</v>
      </c>
      <c r="F25" s="3" t="s">
        <v>13</v>
      </c>
      <c r="G25" s="3" t="s">
        <v>14</v>
      </c>
    </row>
    <row r="26" ht="42" customHeight="1" spans="1:7">
      <c r="A26" s="3">
        <v>25</v>
      </c>
      <c r="B26" s="3">
        <v>2023</v>
      </c>
      <c r="C26" s="3" t="s">
        <v>34</v>
      </c>
      <c r="D26" s="3" t="s">
        <v>35</v>
      </c>
      <c r="E26" s="4" t="s">
        <v>27</v>
      </c>
      <c r="F26" s="3" t="s">
        <v>13</v>
      </c>
      <c r="G26" s="3" t="s">
        <v>14</v>
      </c>
    </row>
    <row r="27" ht="42" customHeight="1" spans="1:7">
      <c r="A27" s="3">
        <v>26</v>
      </c>
      <c r="B27" s="3">
        <v>2023</v>
      </c>
      <c r="C27" s="3" t="s">
        <v>34</v>
      </c>
      <c r="D27" s="3" t="s">
        <v>35</v>
      </c>
      <c r="E27" s="4" t="s">
        <v>27</v>
      </c>
      <c r="F27" s="3" t="s">
        <v>13</v>
      </c>
      <c r="G27" s="3" t="s">
        <v>14</v>
      </c>
    </row>
    <row r="28" ht="15" customHeight="1"/>
    <row r="29" ht="15" customHeight="1" spans="1:7">
      <c r="A29" s="11"/>
      <c r="B29" s="11"/>
      <c r="C29" s="11"/>
      <c r="D29" s="11"/>
      <c r="E29" s="12"/>
      <c r="F29" s="13"/>
      <c r="G29" s="13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  <row r="101" spans="1:7">
      <c r="A101" s="5"/>
      <c r="B101" s="5"/>
      <c r="C101" s="5"/>
      <c r="D101" s="5"/>
      <c r="E101" s="5"/>
      <c r="F101" s="5"/>
      <c r="G101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97"/>
  <sheetViews>
    <sheetView workbookViewId="0">
      <selection activeCell="E8" sqref="E8"/>
    </sheetView>
  </sheetViews>
  <sheetFormatPr defaultColWidth="9" defaultRowHeight="13.5"/>
  <cols>
    <col min="1" max="1" width="7" customWidth="1"/>
    <col min="2" max="2" width="18" customWidth="1"/>
    <col min="3" max="3" width="12" customWidth="1"/>
    <col min="4" max="4" width="10" customWidth="1"/>
    <col min="5" max="5" width="28" customWidth="1"/>
    <col min="6" max="10" width="7" customWidth="1"/>
    <col min="11" max="11" width="9" customWidth="1"/>
    <col min="12" max="14" width="8" customWidth="1"/>
    <col min="15" max="15" width="10" customWidth="1"/>
    <col min="16" max="16" width="11" customWidth="1"/>
    <col min="17" max="17" width="14" customWidth="1"/>
  </cols>
  <sheetData>
    <row r="1" s="1" customFormat="1" ht="34" customHeight="1" spans="1:17">
      <c r="A1" s="2" t="s">
        <v>0</v>
      </c>
      <c r="B1" s="2" t="s">
        <v>36</v>
      </c>
      <c r="C1" s="6" t="s">
        <v>1</v>
      </c>
      <c r="D1" s="2" t="s">
        <v>5</v>
      </c>
      <c r="E1" s="6" t="s">
        <v>4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</row>
    <row r="2" ht="30" customHeight="1" spans="1:17">
      <c r="A2" s="3">
        <v>1</v>
      </c>
      <c r="B2" s="3" t="s">
        <v>7</v>
      </c>
      <c r="C2" s="3">
        <v>2021</v>
      </c>
      <c r="D2" s="3" t="s">
        <v>9</v>
      </c>
      <c r="E2" s="4">
        <v>0.95</v>
      </c>
      <c r="F2" s="8">
        <v>2</v>
      </c>
      <c r="G2" s="8">
        <v>4</v>
      </c>
      <c r="H2" s="8">
        <v>3</v>
      </c>
      <c r="I2" s="8">
        <v>2</v>
      </c>
      <c r="J2" s="8">
        <v>5</v>
      </c>
      <c r="K2" s="4">
        <f t="shared" ref="K2:K15" si="0">(F2+G2+H2+I2+J2)/5</f>
        <v>3.2</v>
      </c>
      <c r="L2" s="4">
        <f t="shared" ref="L2:L15" si="1">(5-K2)/4</f>
        <v>0.45</v>
      </c>
      <c r="M2" s="8">
        <f t="shared" ref="M2:M15" si="2">COUNTIF($B$2:$B$15,B2)</f>
        <v>4</v>
      </c>
      <c r="N2" s="4">
        <f t="shared" ref="N2:N15" si="3">1/M2</f>
        <v>0.25</v>
      </c>
      <c r="O2" s="4">
        <f t="shared" ref="O2:O15" si="4">L2*N2</f>
        <v>0.1125</v>
      </c>
      <c r="P2" s="4">
        <f t="shared" ref="P2:P15" si="5">O2/SUM($O$2:$O$15)</f>
        <v>0.037344398340249</v>
      </c>
      <c r="Q2" s="4">
        <f t="shared" ref="Q2:Q15" si="6">O2*LN(E2)</f>
        <v>-0.00577049561859944</v>
      </c>
    </row>
    <row r="3" ht="30" customHeight="1" spans="1:17">
      <c r="A3" s="3">
        <v>2</v>
      </c>
      <c r="B3" s="3" t="s">
        <v>7</v>
      </c>
      <c r="C3" s="3">
        <v>2022</v>
      </c>
      <c r="D3" s="3" t="s">
        <v>9</v>
      </c>
      <c r="E3" s="4">
        <v>0.98</v>
      </c>
      <c r="F3" s="8">
        <v>2</v>
      </c>
      <c r="G3" s="8">
        <v>4</v>
      </c>
      <c r="H3" s="8">
        <v>3</v>
      </c>
      <c r="I3" s="8">
        <v>2</v>
      </c>
      <c r="J3" s="8">
        <v>5</v>
      </c>
      <c r="K3" s="4">
        <f t="shared" si="0"/>
        <v>3.2</v>
      </c>
      <c r="L3" s="4">
        <f t="shared" si="1"/>
        <v>0.45</v>
      </c>
      <c r="M3" s="8">
        <f t="shared" si="2"/>
        <v>4</v>
      </c>
      <c r="N3" s="4">
        <f t="shared" si="3"/>
        <v>0.25</v>
      </c>
      <c r="O3" s="4">
        <f t="shared" si="4"/>
        <v>0.1125</v>
      </c>
      <c r="P3" s="4">
        <f t="shared" si="5"/>
        <v>0.037344398340249</v>
      </c>
      <c r="Q3" s="4">
        <f t="shared" si="6"/>
        <v>-0.00227280457322094</v>
      </c>
    </row>
    <row r="4" ht="30" customHeight="1" spans="1:17">
      <c r="A4" s="3">
        <v>3</v>
      </c>
      <c r="B4" s="3" t="s">
        <v>7</v>
      </c>
      <c r="C4" s="3">
        <v>2023</v>
      </c>
      <c r="D4" s="3" t="s">
        <v>9</v>
      </c>
      <c r="E4" s="4">
        <v>0.78</v>
      </c>
      <c r="F4" s="8">
        <v>2</v>
      </c>
      <c r="G4" s="8">
        <v>4</v>
      </c>
      <c r="H4" s="8">
        <v>3</v>
      </c>
      <c r="I4" s="8">
        <v>2</v>
      </c>
      <c r="J4" s="8">
        <v>4</v>
      </c>
      <c r="K4" s="4">
        <f t="shared" si="0"/>
        <v>3</v>
      </c>
      <c r="L4" s="4">
        <f t="shared" si="1"/>
        <v>0.5</v>
      </c>
      <c r="M4" s="8">
        <f t="shared" si="2"/>
        <v>4</v>
      </c>
      <c r="N4" s="4">
        <f t="shared" si="3"/>
        <v>0.25</v>
      </c>
      <c r="O4" s="4">
        <f t="shared" si="4"/>
        <v>0.125</v>
      </c>
      <c r="P4" s="4">
        <f t="shared" si="5"/>
        <v>0.04149377593361</v>
      </c>
      <c r="Q4" s="4">
        <f t="shared" si="6"/>
        <v>-0.0310576699123124</v>
      </c>
    </row>
    <row r="5" ht="30" customHeight="1" spans="1:17">
      <c r="A5" s="3">
        <v>4</v>
      </c>
      <c r="B5" s="3" t="s">
        <v>7</v>
      </c>
      <c r="C5" s="3">
        <v>2024</v>
      </c>
      <c r="D5" s="3" t="s">
        <v>9</v>
      </c>
      <c r="E5" s="4">
        <v>0.59</v>
      </c>
      <c r="F5" s="8">
        <v>2</v>
      </c>
      <c r="G5" s="8">
        <v>4</v>
      </c>
      <c r="H5" s="8">
        <v>3</v>
      </c>
      <c r="I5" s="8">
        <v>2</v>
      </c>
      <c r="J5" s="8">
        <v>3</v>
      </c>
      <c r="K5" s="4">
        <f t="shared" si="0"/>
        <v>2.8</v>
      </c>
      <c r="L5" s="4">
        <f t="shared" si="1"/>
        <v>0.55</v>
      </c>
      <c r="M5" s="8">
        <f t="shared" si="2"/>
        <v>4</v>
      </c>
      <c r="N5" s="4">
        <f t="shared" si="3"/>
        <v>0.25</v>
      </c>
      <c r="O5" s="4">
        <f t="shared" si="4"/>
        <v>0.1375</v>
      </c>
      <c r="P5" s="4">
        <f t="shared" si="5"/>
        <v>0.045643153526971</v>
      </c>
      <c r="Q5" s="4">
        <f t="shared" si="6"/>
        <v>-0.0725495020363262</v>
      </c>
    </row>
    <row r="6" ht="30" customHeight="1" spans="1:17">
      <c r="A6" s="3">
        <v>5</v>
      </c>
      <c r="B6" s="3" t="s">
        <v>17</v>
      </c>
      <c r="C6" s="3">
        <v>2019</v>
      </c>
      <c r="D6" s="3" t="s">
        <v>9</v>
      </c>
      <c r="E6" s="4">
        <v>0.637</v>
      </c>
      <c r="F6" s="8">
        <v>1</v>
      </c>
      <c r="G6" s="8">
        <v>3</v>
      </c>
      <c r="H6" s="8">
        <v>2</v>
      </c>
      <c r="I6" s="8">
        <v>2</v>
      </c>
      <c r="J6" s="8">
        <v>5</v>
      </c>
      <c r="K6" s="4">
        <f t="shared" si="0"/>
        <v>2.6</v>
      </c>
      <c r="L6" s="4">
        <f t="shared" si="1"/>
        <v>0.6</v>
      </c>
      <c r="M6" s="8">
        <f t="shared" si="2"/>
        <v>4</v>
      </c>
      <c r="N6" s="4">
        <f t="shared" si="3"/>
        <v>0.25</v>
      </c>
      <c r="O6" s="4">
        <f t="shared" si="4"/>
        <v>0.15</v>
      </c>
      <c r="P6" s="4">
        <f t="shared" si="5"/>
        <v>0.049792531120332</v>
      </c>
      <c r="Q6" s="4">
        <f t="shared" si="6"/>
        <v>-0.0676478435114961</v>
      </c>
    </row>
    <row r="7" ht="30" customHeight="1" spans="1:17">
      <c r="A7" s="3">
        <v>6</v>
      </c>
      <c r="B7" s="3" t="s">
        <v>17</v>
      </c>
      <c r="C7" s="3">
        <v>2020</v>
      </c>
      <c r="D7" s="3" t="s">
        <v>9</v>
      </c>
      <c r="E7" s="4">
        <v>0.548</v>
      </c>
      <c r="F7" s="8">
        <v>1</v>
      </c>
      <c r="G7" s="8">
        <v>3</v>
      </c>
      <c r="H7" s="8">
        <v>2</v>
      </c>
      <c r="I7" s="8">
        <v>2</v>
      </c>
      <c r="J7" s="8">
        <v>5</v>
      </c>
      <c r="K7" s="4">
        <f t="shared" si="0"/>
        <v>2.6</v>
      </c>
      <c r="L7" s="4">
        <f t="shared" si="1"/>
        <v>0.6</v>
      </c>
      <c r="M7" s="8">
        <f t="shared" si="2"/>
        <v>4</v>
      </c>
      <c r="N7" s="4">
        <f t="shared" si="3"/>
        <v>0.25</v>
      </c>
      <c r="O7" s="4">
        <f t="shared" si="4"/>
        <v>0.15</v>
      </c>
      <c r="P7" s="4">
        <f t="shared" si="5"/>
        <v>0.049792531120332</v>
      </c>
      <c r="Q7" s="4">
        <f t="shared" si="6"/>
        <v>-0.0902219988051182</v>
      </c>
    </row>
    <row r="8" ht="30" customHeight="1" spans="1:17">
      <c r="A8" s="3">
        <v>7</v>
      </c>
      <c r="B8" s="3" t="s">
        <v>17</v>
      </c>
      <c r="C8" s="3">
        <v>2021</v>
      </c>
      <c r="D8" s="3" t="s">
        <v>9</v>
      </c>
      <c r="E8" s="4">
        <v>0.505</v>
      </c>
      <c r="F8" s="8">
        <v>1</v>
      </c>
      <c r="G8" s="8">
        <v>3</v>
      </c>
      <c r="H8" s="8">
        <v>2</v>
      </c>
      <c r="I8" s="8">
        <v>2</v>
      </c>
      <c r="J8" s="8">
        <v>5</v>
      </c>
      <c r="K8" s="4">
        <f t="shared" si="0"/>
        <v>2.6</v>
      </c>
      <c r="L8" s="4">
        <f t="shared" si="1"/>
        <v>0.6</v>
      </c>
      <c r="M8" s="8">
        <f t="shared" si="2"/>
        <v>4</v>
      </c>
      <c r="N8" s="4">
        <f t="shared" si="3"/>
        <v>0.25</v>
      </c>
      <c r="O8" s="4">
        <f t="shared" si="4"/>
        <v>0.15</v>
      </c>
      <c r="P8" s="4">
        <f t="shared" si="5"/>
        <v>0.049792531120332</v>
      </c>
      <c r="Q8" s="4">
        <f t="shared" si="6"/>
        <v>-0.102479527456017</v>
      </c>
    </row>
    <row r="9" ht="30" customHeight="1" spans="1:17">
      <c r="A9" s="3">
        <v>8</v>
      </c>
      <c r="B9" s="3" t="s">
        <v>17</v>
      </c>
      <c r="C9" s="3">
        <v>2022</v>
      </c>
      <c r="D9" s="3" t="s">
        <v>9</v>
      </c>
      <c r="E9" s="4">
        <v>0.506</v>
      </c>
      <c r="F9" s="8">
        <v>1</v>
      </c>
      <c r="G9" s="8">
        <v>3</v>
      </c>
      <c r="H9" s="8">
        <v>2</v>
      </c>
      <c r="I9" s="8">
        <v>2</v>
      </c>
      <c r="J9" s="8">
        <v>5</v>
      </c>
      <c r="K9" s="4">
        <f t="shared" si="0"/>
        <v>2.6</v>
      </c>
      <c r="L9" s="4">
        <f t="shared" si="1"/>
        <v>0.6</v>
      </c>
      <c r="M9" s="8">
        <f t="shared" si="2"/>
        <v>4</v>
      </c>
      <c r="N9" s="4">
        <f t="shared" si="3"/>
        <v>0.25</v>
      </c>
      <c r="O9" s="4">
        <f t="shared" si="4"/>
        <v>0.15</v>
      </c>
      <c r="P9" s="4">
        <f t="shared" si="5"/>
        <v>0.049792531120332</v>
      </c>
      <c r="Q9" s="4">
        <f t="shared" si="6"/>
        <v>-0.102182791454201</v>
      </c>
    </row>
    <row r="10" ht="30" customHeight="1" spans="1:17">
      <c r="A10" s="3">
        <v>9</v>
      </c>
      <c r="B10" s="3" t="s">
        <v>19</v>
      </c>
      <c r="C10" s="3">
        <v>2023</v>
      </c>
      <c r="D10" s="3" t="s">
        <v>9</v>
      </c>
      <c r="E10" s="4">
        <v>0.445633840657307</v>
      </c>
      <c r="F10" s="8">
        <v>2</v>
      </c>
      <c r="G10" s="8">
        <v>3</v>
      </c>
      <c r="H10" s="8">
        <v>2</v>
      </c>
      <c r="I10" s="8">
        <v>2</v>
      </c>
      <c r="J10" s="8">
        <v>4</v>
      </c>
      <c r="K10" s="4">
        <f t="shared" si="0"/>
        <v>2.6</v>
      </c>
      <c r="L10" s="4">
        <f t="shared" si="1"/>
        <v>0.6</v>
      </c>
      <c r="M10" s="8">
        <f t="shared" si="2"/>
        <v>3</v>
      </c>
      <c r="N10" s="4">
        <f t="shared" si="3"/>
        <v>0.333333333333333</v>
      </c>
      <c r="O10" s="4">
        <f t="shared" si="4"/>
        <v>0.2</v>
      </c>
      <c r="P10" s="4">
        <f t="shared" si="5"/>
        <v>0.0663900414937759</v>
      </c>
      <c r="Q10" s="4">
        <f t="shared" si="6"/>
        <v>-0.161651529845637</v>
      </c>
    </row>
    <row r="11" ht="30" customHeight="1" spans="1:17">
      <c r="A11" s="3">
        <v>10</v>
      </c>
      <c r="B11" s="3" t="s">
        <v>19</v>
      </c>
      <c r="C11" s="3">
        <v>2024</v>
      </c>
      <c r="D11" s="3" t="s">
        <v>9</v>
      </c>
      <c r="E11" s="4">
        <v>0.381971863420549</v>
      </c>
      <c r="F11" s="8">
        <v>2</v>
      </c>
      <c r="G11" s="8">
        <v>3</v>
      </c>
      <c r="H11" s="8">
        <v>2</v>
      </c>
      <c r="I11" s="8">
        <v>2</v>
      </c>
      <c r="J11" s="8">
        <v>3</v>
      </c>
      <c r="K11" s="4">
        <f t="shared" si="0"/>
        <v>2.4</v>
      </c>
      <c r="L11" s="4">
        <f t="shared" si="1"/>
        <v>0.65</v>
      </c>
      <c r="M11" s="8">
        <f t="shared" si="2"/>
        <v>3</v>
      </c>
      <c r="N11" s="4">
        <f t="shared" si="3"/>
        <v>0.333333333333333</v>
      </c>
      <c r="O11" s="4">
        <f t="shared" si="4"/>
        <v>0.216666666666667</v>
      </c>
      <c r="P11" s="4">
        <f t="shared" si="5"/>
        <v>0.0719225449515906</v>
      </c>
      <c r="Q11" s="4">
        <f t="shared" si="6"/>
        <v>-0.20852180462868</v>
      </c>
    </row>
    <row r="12" ht="30" customHeight="1" spans="1:17">
      <c r="A12" s="3">
        <v>11</v>
      </c>
      <c r="B12" s="3" t="s">
        <v>19</v>
      </c>
      <c r="C12" s="3">
        <v>2025</v>
      </c>
      <c r="D12" s="3" t="s">
        <v>9</v>
      </c>
      <c r="E12" s="4">
        <v>0.477464829275687</v>
      </c>
      <c r="F12" s="8">
        <v>2</v>
      </c>
      <c r="G12" s="8">
        <v>3</v>
      </c>
      <c r="H12" s="8">
        <v>2</v>
      </c>
      <c r="I12" s="8">
        <v>2</v>
      </c>
      <c r="J12" s="8">
        <v>2</v>
      </c>
      <c r="K12" s="4">
        <f t="shared" si="0"/>
        <v>2.2</v>
      </c>
      <c r="L12" s="4">
        <f t="shared" si="1"/>
        <v>0.7</v>
      </c>
      <c r="M12" s="8">
        <f t="shared" si="2"/>
        <v>3</v>
      </c>
      <c r="N12" s="4">
        <f t="shared" si="3"/>
        <v>0.333333333333333</v>
      </c>
      <c r="O12" s="4">
        <f t="shared" si="4"/>
        <v>0.233333333333333</v>
      </c>
      <c r="P12" s="4">
        <f t="shared" si="5"/>
        <v>0.0774550484094053</v>
      </c>
      <c r="Q12" s="4">
        <f t="shared" si="6"/>
        <v>-0.172495114806288</v>
      </c>
    </row>
    <row r="13" ht="30" customHeight="1" spans="1:17">
      <c r="A13" s="3">
        <v>12</v>
      </c>
      <c r="B13" s="3" t="s">
        <v>21</v>
      </c>
      <c r="C13" s="3">
        <v>2022</v>
      </c>
      <c r="D13" s="3" t="s">
        <v>9</v>
      </c>
      <c r="E13" s="4">
        <v>0.791</v>
      </c>
      <c r="F13" s="8">
        <v>2</v>
      </c>
      <c r="G13" s="8">
        <v>2</v>
      </c>
      <c r="H13" s="8">
        <v>3</v>
      </c>
      <c r="I13" s="8">
        <v>2</v>
      </c>
      <c r="J13" s="8">
        <v>5</v>
      </c>
      <c r="K13" s="4">
        <f t="shared" si="0"/>
        <v>2.8</v>
      </c>
      <c r="L13" s="4">
        <f t="shared" si="1"/>
        <v>0.55</v>
      </c>
      <c r="M13" s="8">
        <f t="shared" si="2"/>
        <v>2</v>
      </c>
      <c r="N13" s="4">
        <f t="shared" si="3"/>
        <v>0.5</v>
      </c>
      <c r="O13" s="4">
        <f t="shared" si="4"/>
        <v>0.275</v>
      </c>
      <c r="P13" s="4">
        <f t="shared" si="5"/>
        <v>0.0912863070539419</v>
      </c>
      <c r="Q13" s="4">
        <f t="shared" si="6"/>
        <v>-0.0644757605839829</v>
      </c>
    </row>
    <row r="14" ht="30" customHeight="1" spans="1:17">
      <c r="A14" s="3">
        <v>13</v>
      </c>
      <c r="B14" s="3" t="s">
        <v>21</v>
      </c>
      <c r="C14" s="3">
        <v>2023</v>
      </c>
      <c r="D14" s="3" t="s">
        <v>9</v>
      </c>
      <c r="E14" s="4">
        <v>0.935</v>
      </c>
      <c r="F14" s="8">
        <v>2</v>
      </c>
      <c r="G14" s="8">
        <v>2</v>
      </c>
      <c r="H14" s="8">
        <v>3</v>
      </c>
      <c r="I14" s="8">
        <v>2</v>
      </c>
      <c r="J14" s="8">
        <v>4</v>
      </c>
      <c r="K14" s="4">
        <f t="shared" si="0"/>
        <v>2.6</v>
      </c>
      <c r="L14" s="4">
        <f t="shared" si="1"/>
        <v>0.6</v>
      </c>
      <c r="M14" s="8">
        <f t="shared" si="2"/>
        <v>2</v>
      </c>
      <c r="N14" s="4">
        <f t="shared" si="3"/>
        <v>0.5</v>
      </c>
      <c r="O14" s="4">
        <f t="shared" si="4"/>
        <v>0.3</v>
      </c>
      <c r="P14" s="4">
        <f t="shared" si="5"/>
        <v>0.0995850622406639</v>
      </c>
      <c r="Q14" s="4">
        <f t="shared" si="6"/>
        <v>-0.020162624908035</v>
      </c>
    </row>
    <row r="15" ht="30" customHeight="1" spans="1:17">
      <c r="A15" s="3">
        <v>14</v>
      </c>
      <c r="B15" s="3" t="s">
        <v>49</v>
      </c>
      <c r="C15" s="3">
        <v>2025</v>
      </c>
      <c r="D15" s="3" t="s">
        <v>9</v>
      </c>
      <c r="E15" s="4">
        <v>0.5366</v>
      </c>
      <c r="F15" s="8">
        <v>2</v>
      </c>
      <c r="G15" s="8">
        <v>3</v>
      </c>
      <c r="H15" s="8">
        <v>2</v>
      </c>
      <c r="I15" s="8">
        <v>2</v>
      </c>
      <c r="J15" s="8">
        <v>2</v>
      </c>
      <c r="K15" s="4">
        <f t="shared" si="0"/>
        <v>2.2</v>
      </c>
      <c r="L15" s="4">
        <f t="shared" si="1"/>
        <v>0.7</v>
      </c>
      <c r="M15" s="8">
        <f t="shared" si="2"/>
        <v>1</v>
      </c>
      <c r="N15" s="4">
        <f t="shared" si="3"/>
        <v>1</v>
      </c>
      <c r="O15" s="4">
        <f t="shared" si="4"/>
        <v>0.7</v>
      </c>
      <c r="P15" s="4">
        <f t="shared" si="5"/>
        <v>0.232365145228216</v>
      </c>
      <c r="Q15" s="4">
        <f t="shared" si="6"/>
        <v>-0.435751638693429</v>
      </c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workbookViewId="0">
      <selection activeCell="C8" sqref="C8"/>
    </sheetView>
  </sheetViews>
  <sheetFormatPr defaultColWidth="9" defaultRowHeight="13.5" outlineLevelCol="3"/>
  <cols>
    <col min="1" max="1" width="22" customWidth="1"/>
    <col min="2" max="2" width="10" customWidth="1"/>
    <col min="3" max="3" width="32" customWidth="1"/>
    <col min="4" max="4" width="16" customWidth="1"/>
  </cols>
  <sheetData>
    <row r="1" s="1" customFormat="1" ht="34" customHeight="1" spans="1:4">
      <c r="A1" s="2" t="s">
        <v>50</v>
      </c>
      <c r="B1" s="2" t="s">
        <v>51</v>
      </c>
      <c r="C1" s="2" t="s">
        <v>52</v>
      </c>
      <c r="D1" s="2" t="s">
        <v>53</v>
      </c>
    </row>
    <row r="2" ht="30" customHeight="1" spans="1:4">
      <c r="A2" s="3" t="s">
        <v>54</v>
      </c>
      <c r="B2" s="3" t="s">
        <v>55</v>
      </c>
      <c r="C2" s="4">
        <f>EXP(SUM('02_评分与权重'!Q2:Q15)/SUM('02_评分与权重'!O2:O15))</f>
        <v>0.600322958541122</v>
      </c>
      <c r="D2" s="3" t="s">
        <v>56</v>
      </c>
    </row>
    <row r="3" ht="30" customHeight="1" spans="1:4">
      <c r="A3" s="3" t="s">
        <v>57</v>
      </c>
      <c r="B3" s="3" t="s">
        <v>58</v>
      </c>
      <c r="C3" s="4">
        <f>AVERAGE('02_评分与权重'!E2:E15)</f>
        <v>0.647405038096682</v>
      </c>
      <c r="D3" s="3" t="s">
        <v>59</v>
      </c>
    </row>
    <row r="4" ht="30" customHeight="1" spans="1:4">
      <c r="A4" s="3" t="s">
        <v>60</v>
      </c>
      <c r="B4" s="3" t="s">
        <v>61</v>
      </c>
      <c r="C4" s="4">
        <f>GEOMEAN('02_评分与权重'!E2:E15)</f>
        <v>0.619731282818063</v>
      </c>
      <c r="D4" s="3" t="s">
        <v>59</v>
      </c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01_数据来源与准入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2026-09-01T13:27:00Z</dcterms:created>
  <dcterms:modified xsi:type="dcterms:W3CDTF">2026-09-02T04:46:11Z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691C3890C3AB4F44A3897288F9864178_12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