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<sst xmlns="http://schemas.openxmlformats.org/spreadsheetml/2006/main" count="109" uniqueCount="57">
  <si>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</si>
  <si>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</si>
  <si>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</si>
  <si>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</si>
  <si>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</si>
  <si>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状态</t>
  </si>
  <si>
    <t>Smart Freight Centre / GLEC v3.2</t>
  </si>
  <si>
    <t>https://smart-freight-centre-media.s3.amazonaws.com/documents/GLEC_FRAMEWORK_v3.2_21_10_25_1.pdf</t>
  </si>
  <si>
    <t>纳入</t>
  </si>
  <si>
    <t>UK Government DESNZ</t>
  </si>
  <si>
    <t>https://www.gov.uk/government/publications/greenhouse-gas-reporting-conversion-factors-2026</t>
  </si>
  <si>
    <t>US EPA SmartWay</t>
  </si>
  <si>
    <t>https://nepis.epa.gov/Exe/ZyPURL.cgi?Dockey=P101CTRC.txt</t>
  </si>
  <si>
    <t>CE Delft</t>
  </si>
  <si>
    <t>https://cedelft.eu/wp-content/uploads/sites/2/2021/03/CE_Delft_190325_STREAM_Freight_Transport_2020_FINAL.pdf</t>
  </si>
  <si>
    <t>CO2data.fi / VTT LIPASTO</t>
  </si>
  <si>
    <t>https://co2data.fi/rakentaminen/reports/Transport%20R01.00.pdf</t>
  </si>
  <si>
    <t>WRI China / CATARC</t>
  </si>
  <si>
    <t>https://wri.org.cn/sites/default/files/2021-12/toward-net-zero-emissions-road-transport-sector-china-CN.pdf</t>
  </si>
  <si>
    <t>GLEC v3.2 China</t>
  </si>
  <si>
    <t>未纳入</t>
  </si>
  <si>
    <t>UK DESNZ 2025</t>
  </si>
  <si>
    <t>CE Delft STREAM</t>
  </si>
  <si>
    <t>CO2data/VTT</t>
  </si>
  <si>
    <t>WRI/CATARC</t>
  </si>
  <si>
    <t>NDRC</t>
  </si>
  <si>
    <t>https://www.ndrc.gov.cn/xxgk/zcfb/tz/201511/W020190905506438255108.pdf</t>
  </si>
  <si>
    <t>未提供</t>
  </si>
  <si>
    <t>ICCT</t>
  </si>
  <si>
    <t>https://theicct.org/wp-content/uploads/2021/06/Commercial-vehicles-china-evolution-mar2021.pdf</t>
  </si>
  <si>
    <t>GLEC Europe</t>
  </si>
  <si>
    <t>ECTA/SFC</t>
  </si>
  <si>
    <t>https://www.smartfreightcentre.org/en/our-programs/emissions-accounting/global-logistics-emissions-council/calculate-report-glec-framework/</t>
  </si>
  <si>
    <t>ADEME Base Carbone 2025</t>
  </si>
  <si>
    <t>https://prod-basecarbonesolo.ademe-dri.fr/documentation/UPLOAD_DOC_FR/routier.htm</t>
  </si>
  <si>
    <r>
      <rPr>
        <b/>
        <sz val="10"/>
        <color rgb="FF000000"/>
        <rFont val="宋体"/>
        <charset val="134"/>
      </rPr>
      <t>归一化因子（kgCO</t>
    </r>
    <r>
      <rPr>
        <b/>
        <vertAlign val="sub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</si>
  <si>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</si>
  <si>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</si>
  <si>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</si>
  <si>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</si>
  <si>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</si>
  <si>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</si>
  <si>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</si>
  <si>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</si>
  <si>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</si>
  <si>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</si>
  <si>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</si>
  <si>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r>
      <rPr>
        <b/>
        <sz val="10"/>
        <color rgb="FF000000"/>
        <rFont val="宋体"/>
        <charset val="134"/>
      </rPr>
      <t>最终结果（kgCO</t>
    </r>
    <r>
      <rPr>
        <b/>
        <vertAlign val="sub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</si>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</sst>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Carlito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vertAlign val="subscript"/>
      <sz val="10"/>
      <color rgb="FF000000"/>
      <name val="宋体"/>
      <charset val="134"/>
    </font>
    <font>
      <b/>
      <vertAlign val="sub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/>
    </xf>
    <xf numFmtId="0" fontId="4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Font="1" applyFill="1" applyAlignment="1">
      <alignment horizontal="center"/>
    </xf>
    <xf numFmtId="0" fontId="0" fillId="0" borderId="0" xfId="49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pis.epa.gov/Exe/ZyPURL.cgi?Dockey=P101CTRC.txt" TargetMode="External"/><Relationship Id="rId2" Type="http://schemas.openxmlformats.org/officeDocument/2006/relationships/hyperlink" Target="https://www.gov.uk/government/publications/greenhouse-gas-reporting-conversion-factors-2026" TargetMode="External"/><Relationship Id="rId1" Type="http://schemas.openxmlformats.org/officeDocument/2006/relationships/hyperlink" Target="https://smart-freight-centre-media.s3.amazonaws.com/documents/GLEC_FRAMEWORK_v3.2_21_10_25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4"/>
  <sheetViews>
    <sheetView tabSelected="1" topLeftCell="A19" workbookViewId="0">
      <selection activeCell="E20" sqref="E20"/>
    </sheetView>
  </sheetViews>
  <sheetFormatPr defaultColWidth="9" defaultRowHeight="13.5" outlineLevelCol="5"/>
  <cols>
    <col min="1" max="1" width="9" style="9" customWidth="1"/>
    <col min="2" max="2" width="12" style="9" customWidth="1"/>
    <col min="3" max="3" width="30" style="9" customWidth="1"/>
    <col min="4" max="4" width="62" style="9" customWidth="1"/>
    <col min="5" max="5" width="28" style="9" customWidth="1"/>
    <col min="6" max="6" width="12" style="9" customWidth="1"/>
    <col min="7" max="16384" width="9" style="9"/>
  </cols>
  <sheetData>
    <row r="1" s="8" customFormat="1" ht="3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>
      <c r="A2" s="7">
        <v>1</v>
      </c>
      <c r="B2" s="7">
        <v>2019</v>
      </c>
      <c r="C2" s="3" t="s">
        <v>6</v>
      </c>
      <c r="D2" s="3" t="s">
        <v>7</v>
      </c>
      <c r="E2" s="4">
        <v>0.07818</v>
      </c>
      <c r="F2" s="2" t="s">
        <v>8</v>
      </c>
    </row>
    <row r="3" ht="48" customHeight="1" spans="1:6">
      <c r="A3" s="7">
        <v>2</v>
      </c>
      <c r="B3" s="7">
        <v>2022</v>
      </c>
      <c r="C3" s="3" t="s">
        <v>9</v>
      </c>
      <c r="D3" s="3" t="s">
        <v>10</v>
      </c>
      <c r="E3" s="4">
        <v>0.09749</v>
      </c>
      <c r="F3" s="2" t="s">
        <v>8</v>
      </c>
    </row>
    <row r="4" ht="48" customHeight="1" spans="1:6">
      <c r="A4" s="7">
        <v>3</v>
      </c>
      <c r="B4" s="7">
        <v>2023</v>
      </c>
      <c r="C4" s="3" t="s">
        <v>11</v>
      </c>
      <c r="D4" s="3" t="s">
        <v>12</v>
      </c>
      <c r="E4" s="4">
        <v>0.0888274383282517</v>
      </c>
      <c r="F4" s="2" t="s">
        <v>8</v>
      </c>
    </row>
    <row r="5" ht="48" customHeight="1" spans="1:6">
      <c r="A5" s="7">
        <v>4</v>
      </c>
      <c r="B5" s="7">
        <v>2018</v>
      </c>
      <c r="C5" s="3" t="s">
        <v>13</v>
      </c>
      <c r="D5" s="3" t="s">
        <v>14</v>
      </c>
      <c r="E5" s="4">
        <v>0.0884</v>
      </c>
      <c r="F5" s="2" t="s">
        <v>8</v>
      </c>
    </row>
    <row r="6" ht="48" customHeight="1" spans="1:6">
      <c r="A6" s="7">
        <v>5</v>
      </c>
      <c r="B6" s="7">
        <v>2016</v>
      </c>
      <c r="C6" s="3" t="s">
        <v>15</v>
      </c>
      <c r="D6" s="3" t="s">
        <v>16</v>
      </c>
      <c r="E6" s="4">
        <v>0.07871</v>
      </c>
      <c r="F6" s="2" t="s">
        <v>8</v>
      </c>
    </row>
    <row r="7" ht="48" customHeight="1" spans="1:6">
      <c r="A7" s="7">
        <v>6</v>
      </c>
      <c r="B7" s="7">
        <v>2017</v>
      </c>
      <c r="C7" s="3" t="s">
        <v>17</v>
      </c>
      <c r="D7" s="3" t="s">
        <v>18</v>
      </c>
      <c r="E7" s="4">
        <v>0.06380625</v>
      </c>
      <c r="F7" s="2" t="s">
        <v>8</v>
      </c>
    </row>
    <row r="8" ht="48" customHeight="1" spans="1:6">
      <c r="A8" s="7">
        <v>7</v>
      </c>
      <c r="B8" s="7">
        <v>2019</v>
      </c>
      <c r="C8" s="3" t="s">
        <v>19</v>
      </c>
      <c r="D8" s="3" t="s">
        <v>7</v>
      </c>
      <c r="E8" s="4">
        <v>0.09675</v>
      </c>
      <c r="F8" s="2" t="s">
        <v>20</v>
      </c>
    </row>
    <row r="9" ht="48" customHeight="1" spans="1:6">
      <c r="A9" s="7">
        <v>8</v>
      </c>
      <c r="B9" s="7">
        <v>2019</v>
      </c>
      <c r="C9" s="3" t="s">
        <v>19</v>
      </c>
      <c r="D9" s="3" t="s">
        <v>7</v>
      </c>
      <c r="E9" s="4">
        <v>0.08086</v>
      </c>
      <c r="F9" s="2" t="s">
        <v>20</v>
      </c>
    </row>
    <row r="10" ht="48" customHeight="1" spans="1:6">
      <c r="A10" s="7">
        <v>9</v>
      </c>
      <c r="B10" s="7">
        <v>2019</v>
      </c>
      <c r="C10" s="3" t="s">
        <v>19</v>
      </c>
      <c r="D10" s="3" t="s">
        <v>7</v>
      </c>
      <c r="E10" s="4">
        <v>0.07505</v>
      </c>
      <c r="F10" s="2" t="s">
        <v>20</v>
      </c>
    </row>
    <row r="11" ht="48" customHeight="1" spans="1:6">
      <c r="A11" s="7">
        <v>10</v>
      </c>
      <c r="B11" s="7">
        <v>2019</v>
      </c>
      <c r="C11" s="3" t="s">
        <v>19</v>
      </c>
      <c r="D11" s="3" t="s">
        <v>7</v>
      </c>
      <c r="E11" s="4">
        <v>0.07443</v>
      </c>
      <c r="F11" s="2" t="s">
        <v>20</v>
      </c>
    </row>
    <row r="12" ht="48" customHeight="1" spans="1:6">
      <c r="A12" s="7">
        <v>11</v>
      </c>
      <c r="B12" s="7">
        <v>2019</v>
      </c>
      <c r="C12" s="3" t="s">
        <v>19</v>
      </c>
      <c r="D12" s="3" t="s">
        <v>7</v>
      </c>
      <c r="E12" s="4">
        <v>0.07389</v>
      </c>
      <c r="F12" s="2" t="s">
        <v>20</v>
      </c>
    </row>
    <row r="13" ht="48" customHeight="1" spans="1:6">
      <c r="A13" s="7">
        <v>12</v>
      </c>
      <c r="B13" s="7">
        <v>2022</v>
      </c>
      <c r="C13" s="3" t="s">
        <v>21</v>
      </c>
      <c r="D13" s="3" t="s">
        <v>10</v>
      </c>
      <c r="E13" s="4">
        <v>0.11856</v>
      </c>
      <c r="F13" s="2" t="s">
        <v>20</v>
      </c>
    </row>
    <row r="14" ht="48" customHeight="1" spans="1:6">
      <c r="A14" s="7">
        <v>13</v>
      </c>
      <c r="B14" s="7">
        <v>2022</v>
      </c>
      <c r="C14" s="3" t="s">
        <v>21</v>
      </c>
      <c r="D14" s="3" t="s">
        <v>10</v>
      </c>
      <c r="E14" s="4">
        <v>0.07391</v>
      </c>
      <c r="F14" s="2" t="s">
        <v>20</v>
      </c>
    </row>
    <row r="15" ht="48" customHeight="1" spans="1:6">
      <c r="A15" s="7">
        <v>14</v>
      </c>
      <c r="B15" s="7">
        <v>2018</v>
      </c>
      <c r="C15" s="3" t="s">
        <v>22</v>
      </c>
      <c r="D15" s="3" t="s">
        <v>14</v>
      </c>
      <c r="E15" s="4">
        <v>0.0751</v>
      </c>
      <c r="F15" s="2" t="s">
        <v>20</v>
      </c>
    </row>
    <row r="16" ht="48" customHeight="1" spans="1:6">
      <c r="A16" s="7">
        <v>15</v>
      </c>
      <c r="B16" s="7">
        <v>2016</v>
      </c>
      <c r="C16" s="3" t="s">
        <v>23</v>
      </c>
      <c r="D16" s="3" t="s">
        <v>16</v>
      </c>
      <c r="E16" s="4">
        <v>0.09948</v>
      </c>
      <c r="F16" s="2" t="s">
        <v>20</v>
      </c>
    </row>
    <row r="17" ht="48" customHeight="1" spans="1:6">
      <c r="A17" s="7">
        <v>16</v>
      </c>
      <c r="B17" s="7">
        <v>2016</v>
      </c>
      <c r="C17" s="3" t="s">
        <v>23</v>
      </c>
      <c r="D17" s="3" t="s">
        <v>16</v>
      </c>
      <c r="E17" s="4">
        <v>0.09429</v>
      </c>
      <c r="F17" s="2" t="s">
        <v>20</v>
      </c>
    </row>
    <row r="18" ht="48" customHeight="1" spans="1:6">
      <c r="A18" s="7">
        <v>17</v>
      </c>
      <c r="B18" s="7">
        <v>2017</v>
      </c>
      <c r="C18" s="3" t="s">
        <v>24</v>
      </c>
      <c r="D18" s="3" t="s">
        <v>18</v>
      </c>
      <c r="E18" s="4">
        <v>0.0619346</v>
      </c>
      <c r="F18" s="2" t="s">
        <v>20</v>
      </c>
    </row>
    <row r="19" ht="48" customHeight="1" spans="1:6">
      <c r="A19" s="7">
        <v>18</v>
      </c>
      <c r="B19" s="7">
        <v>2017</v>
      </c>
      <c r="C19" s="3" t="s">
        <v>24</v>
      </c>
      <c r="D19" s="3" t="s">
        <v>18</v>
      </c>
      <c r="E19" s="4">
        <v>0.0656779</v>
      </c>
      <c r="F19" s="2" t="s">
        <v>20</v>
      </c>
    </row>
    <row r="20" ht="48" customHeight="1" spans="1:6">
      <c r="A20" s="7">
        <v>19</v>
      </c>
      <c r="B20" s="7">
        <v>2015</v>
      </c>
      <c r="C20" s="3" t="s">
        <v>25</v>
      </c>
      <c r="D20" s="3" t="s">
        <v>26</v>
      </c>
      <c r="E20" s="4" t="s">
        <v>27</v>
      </c>
      <c r="F20" s="2" t="s">
        <v>20</v>
      </c>
    </row>
    <row r="21" ht="48" customHeight="1" spans="1:6">
      <c r="A21" s="7">
        <v>20</v>
      </c>
      <c r="B21" s="7">
        <v>2017</v>
      </c>
      <c r="C21" s="3" t="s">
        <v>28</v>
      </c>
      <c r="D21" s="3" t="s">
        <v>29</v>
      </c>
      <c r="E21" s="4" t="s">
        <v>27</v>
      </c>
      <c r="F21" s="2" t="s">
        <v>20</v>
      </c>
    </row>
    <row r="22" ht="48" customHeight="1" spans="1:6">
      <c r="A22" s="7">
        <v>21</v>
      </c>
      <c r="B22" s="7">
        <v>2019</v>
      </c>
      <c r="C22" s="3" t="s">
        <v>30</v>
      </c>
      <c r="D22" s="3" t="s">
        <v>7</v>
      </c>
      <c r="E22" s="4">
        <v>0.101</v>
      </c>
      <c r="F22" s="2" t="s">
        <v>20</v>
      </c>
    </row>
    <row r="23" ht="48" customHeight="1" spans="1:6">
      <c r="A23" s="7">
        <v>22</v>
      </c>
      <c r="B23" s="7">
        <v>2019</v>
      </c>
      <c r="C23" s="3" t="s">
        <v>31</v>
      </c>
      <c r="D23" s="3" t="s">
        <v>32</v>
      </c>
      <c r="E23" s="4">
        <v>0.071</v>
      </c>
      <c r="F23" s="2" t="s">
        <v>20</v>
      </c>
    </row>
    <row r="24" ht="48" customHeight="1" spans="1:6">
      <c r="A24" s="7">
        <v>23</v>
      </c>
      <c r="B24" s="7">
        <v>2025</v>
      </c>
      <c r="C24" s="3" t="s">
        <v>33</v>
      </c>
      <c r="D24" s="3" t="s">
        <v>34</v>
      </c>
      <c r="E24" s="4">
        <v>0.071</v>
      </c>
      <c r="F24" s="2" t="s">
        <v>20</v>
      </c>
    </row>
  </sheetData>
  <hyperlinks>
    <hyperlink ref="D2" r:id="rId1" display="https://smart-freight-centre-media.s3.amazonaws.com/documents/GLEC_FRAMEWORK_v3.2_21_10_25_1.pdf"/>
    <hyperlink ref="D3" r:id="rId2" display="https://www.gov.uk/government/publications/greenhouse-gas-reporting-conversion-factors-2026"/>
    <hyperlink ref="D4" r:id="rId3" display="https://nepis.epa.gov/Exe/ZyPURL.cgi?Dockey=P101CTRC.txt"/>
    <hyperlink ref="D12" r:id="rId1" display="https://smart-freight-centre-media.s3.amazonaws.com/documents/GLEC_FRAMEWORK_v3.2_21_10_25_1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7"/>
  <sheetViews>
    <sheetView workbookViewId="0">
      <selection activeCell="F10" sqref="F10"/>
    </sheetView>
  </sheetViews>
  <sheetFormatPr defaultColWidth="9" defaultRowHeight="13.5" outlineLevelRow="6"/>
  <cols>
    <col min="1" max="1" width="9" style="5" customWidth="1"/>
    <col min="2" max="2" width="32" style="5" customWidth="1"/>
    <col min="3" max="3" width="12" style="5" customWidth="1"/>
    <col min="4" max="4" width="28" style="5" customWidth="1"/>
    <col min="5" max="9" width="8" style="5" customWidth="1"/>
    <col min="10" max="12" width="12" style="5" customWidth="1"/>
    <col min="13" max="13" width="14" style="5" customWidth="1"/>
    <col min="14" max="16384" width="9" style="5"/>
  </cols>
  <sheetData>
    <row r="1" ht="34" customHeight="1" spans="1:13">
      <c r="A1" s="1" t="s">
        <v>0</v>
      </c>
      <c r="B1" s="1" t="s">
        <v>2</v>
      </c>
      <c r="C1" s="1" t="s">
        <v>1</v>
      </c>
      <c r="D1" s="1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ht="30" customHeight="1" spans="1:13">
      <c r="A2" s="7">
        <v>1</v>
      </c>
      <c r="B2" s="3" t="s">
        <v>6</v>
      </c>
      <c r="C2" s="7">
        <v>2019</v>
      </c>
      <c r="D2" s="4">
        <v>0.07818</v>
      </c>
      <c r="E2" s="3">
        <v>2</v>
      </c>
      <c r="F2" s="3">
        <v>1</v>
      </c>
      <c r="G2" s="3">
        <v>1</v>
      </c>
      <c r="H2" s="3">
        <v>1</v>
      </c>
      <c r="I2" s="3">
        <v>3</v>
      </c>
      <c r="J2" s="4">
        <f t="shared" ref="J2:J7" si="0">AVERAGE(E2:I2)</f>
        <v>1.6</v>
      </c>
      <c r="K2" s="4">
        <f t="shared" ref="K2:K7" si="1">(5-J2)/4</f>
        <v>0.85</v>
      </c>
      <c r="L2" s="4">
        <f t="shared" ref="L2:L7" si="2">K2/SUM($K$2:$K$7)</f>
        <v>0.2</v>
      </c>
      <c r="M2" s="4">
        <f t="shared" ref="M2:M7" si="3">L2*LN(D2)</f>
        <v>-0.509748283723466</v>
      </c>
    </row>
    <row r="3" ht="30" customHeight="1" spans="1:13">
      <c r="A3" s="7">
        <v>2</v>
      </c>
      <c r="B3" s="3" t="s">
        <v>9</v>
      </c>
      <c r="C3" s="7">
        <v>2022</v>
      </c>
      <c r="D3" s="4">
        <v>0.09749</v>
      </c>
      <c r="E3" s="3">
        <v>1</v>
      </c>
      <c r="F3" s="3">
        <v>2</v>
      </c>
      <c r="G3" s="3">
        <v>2</v>
      </c>
      <c r="H3" s="3">
        <v>3</v>
      </c>
      <c r="I3" s="3">
        <v>2</v>
      </c>
      <c r="J3" s="4">
        <f t="shared" si="0"/>
        <v>2</v>
      </c>
      <c r="K3" s="4">
        <f t="shared" si="1"/>
        <v>0.75</v>
      </c>
      <c r="L3" s="4">
        <f t="shared" si="2"/>
        <v>0.176470588235294</v>
      </c>
      <c r="M3" s="4">
        <f t="shared" si="3"/>
        <v>-0.410824494766051</v>
      </c>
    </row>
    <row r="4" ht="30" customHeight="1" spans="1:13">
      <c r="A4" s="7">
        <v>3</v>
      </c>
      <c r="B4" s="3" t="s">
        <v>11</v>
      </c>
      <c r="C4" s="7">
        <v>2023</v>
      </c>
      <c r="D4" s="4">
        <v>0.0888274383282517</v>
      </c>
      <c r="E4" s="3">
        <v>1</v>
      </c>
      <c r="F4" s="3">
        <v>3</v>
      </c>
      <c r="G4" s="3">
        <v>2</v>
      </c>
      <c r="H4" s="3">
        <v>3</v>
      </c>
      <c r="I4" s="3">
        <v>2</v>
      </c>
      <c r="J4" s="4">
        <f t="shared" si="0"/>
        <v>2.2</v>
      </c>
      <c r="K4" s="4">
        <f t="shared" si="1"/>
        <v>0.7</v>
      </c>
      <c r="L4" s="4">
        <f t="shared" si="2"/>
        <v>0.164705882352941</v>
      </c>
      <c r="M4" s="4">
        <f t="shared" si="3"/>
        <v>-0.398762771898834</v>
      </c>
    </row>
    <row r="5" ht="30" customHeight="1" spans="1:13">
      <c r="A5" s="7">
        <v>4</v>
      </c>
      <c r="B5" s="3" t="s">
        <v>13</v>
      </c>
      <c r="C5" s="7">
        <v>2018</v>
      </c>
      <c r="D5" s="4">
        <v>0.0884</v>
      </c>
      <c r="E5" s="3">
        <v>3</v>
      </c>
      <c r="F5" s="3">
        <v>1</v>
      </c>
      <c r="G5" s="3">
        <v>1</v>
      </c>
      <c r="H5" s="3">
        <v>3</v>
      </c>
      <c r="I5" s="3">
        <v>3</v>
      </c>
      <c r="J5" s="4">
        <f t="shared" si="0"/>
        <v>2.2</v>
      </c>
      <c r="K5" s="4">
        <f t="shared" si="1"/>
        <v>0.7</v>
      </c>
      <c r="L5" s="4">
        <f t="shared" si="2"/>
        <v>0.164705882352941</v>
      </c>
      <c r="M5" s="4">
        <f t="shared" si="3"/>
        <v>-0.399557250949877</v>
      </c>
    </row>
    <row r="6" ht="30" customHeight="1" spans="1:13">
      <c r="A6" s="7">
        <v>5</v>
      </c>
      <c r="B6" s="3" t="s">
        <v>15</v>
      </c>
      <c r="C6" s="7">
        <v>2016</v>
      </c>
      <c r="D6" s="4">
        <v>0.07871</v>
      </c>
      <c r="E6" s="3">
        <v>3</v>
      </c>
      <c r="F6" s="3">
        <v>1</v>
      </c>
      <c r="G6" s="3">
        <v>1</v>
      </c>
      <c r="H6" s="3">
        <v>3</v>
      </c>
      <c r="I6" s="3">
        <v>4</v>
      </c>
      <c r="J6" s="4">
        <f t="shared" si="0"/>
        <v>2.4</v>
      </c>
      <c r="K6" s="4">
        <f t="shared" si="1"/>
        <v>0.65</v>
      </c>
      <c r="L6" s="4">
        <f t="shared" si="2"/>
        <v>0.152941176470588</v>
      </c>
      <c r="M6" s="4">
        <f t="shared" si="3"/>
        <v>-0.388774186691307</v>
      </c>
    </row>
    <row r="7" ht="30" customHeight="1" spans="1:13">
      <c r="A7" s="7">
        <v>6</v>
      </c>
      <c r="B7" s="3" t="s">
        <v>17</v>
      </c>
      <c r="C7" s="7">
        <v>2017</v>
      </c>
      <c r="D7" s="4">
        <v>0.06380625</v>
      </c>
      <c r="E7" s="3">
        <v>3</v>
      </c>
      <c r="F7" s="3">
        <v>3</v>
      </c>
      <c r="G7" s="3">
        <v>2</v>
      </c>
      <c r="H7" s="3">
        <v>1</v>
      </c>
      <c r="I7" s="3">
        <v>4</v>
      </c>
      <c r="J7" s="4">
        <f t="shared" si="0"/>
        <v>2.6</v>
      </c>
      <c r="K7" s="4">
        <f t="shared" si="1"/>
        <v>0.6</v>
      </c>
      <c r="L7" s="4">
        <f t="shared" si="2"/>
        <v>0.141176470588235</v>
      </c>
      <c r="M7" s="4">
        <f t="shared" si="3"/>
        <v>-0.388504112618393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zoomScale="85" zoomScaleNormal="85" workbookViewId="0">
      <selection activeCell="C1" sqref="C1"/>
    </sheetView>
  </sheetViews>
  <sheetFormatPr defaultColWidth="9" defaultRowHeight="13.5" outlineLevelRow="3" outlineLevelCol="3"/>
  <cols>
    <col min="1" max="1" width="26" customWidth="1"/>
    <col min="2" max="2" width="12" customWidth="1"/>
    <col min="3" max="3" width="30" customWidth="1"/>
    <col min="4" max="4" width="14" customWidth="1"/>
  </cols>
  <sheetData>
    <row r="1" ht="34" customHeight="1" spans="1:4">
      <c r="A1" s="1" t="s">
        <v>45</v>
      </c>
      <c r="B1" s="1" t="s">
        <v>46</v>
      </c>
      <c r="C1" s="1" t="s">
        <v>47</v>
      </c>
      <c r="D1" s="1" t="s">
        <v>48</v>
      </c>
    </row>
    <row r="2" ht="30" customHeight="1" spans="1:4">
      <c r="A2" s="2" t="s">
        <v>49</v>
      </c>
      <c r="B2" s="3" t="s">
        <v>50</v>
      </c>
      <c r="C2" s="4">
        <f>EXP(SUM('02_评分与权重'!M2:M7))</f>
        <v>0.082399896292973</v>
      </c>
      <c r="D2" s="2" t="s">
        <v>51</v>
      </c>
    </row>
    <row r="3" ht="30" customHeight="1" spans="1:4">
      <c r="A3" s="2" t="s">
        <v>52</v>
      </c>
      <c r="B3" s="3" t="s">
        <v>53</v>
      </c>
      <c r="C3" s="4">
        <f>AVERAGE('02_评分与权重'!D2:D7)</f>
        <v>0.0825689480547086</v>
      </c>
      <c r="D3" s="2" t="s">
        <v>54</v>
      </c>
    </row>
    <row r="4" ht="30" customHeight="1" spans="1:4">
      <c r="A4" s="2" t="s">
        <v>55</v>
      </c>
      <c r="B4" s="3" t="s">
        <v>56</v>
      </c>
      <c r="C4" s="4">
        <f>GEOMEAN('02_评分与权重'!D2:D7)</f>
        <v>0.0818448540925213</v>
      </c>
      <c r="D4" s="2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2026-09-02T03:30:00Z</dcterms:created>
  <dcterms:modified xsi:type="dcterms:W3CDTF">2026-09-02T04:14:21Z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E53BA6DEB24747D7A97BCD5894A65CFB_12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