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/>
  </bookViews>
  <sheets>
    <sheet name="01_数据来源" sheetId="1" r:id="rId1"/>
    <sheet name="02_评分与权重" sheetId="2" r:id="rId2"/>
    <sheet name="03_最终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<sst xmlns="http://schemas.openxmlformats.org/spreadsheetml/2006/main" count="87" uniqueCount="54">
  <si>
    <t>编号</t>
  </si>
  <si>
    <t>数据年份</t>
  </si>
  <si>
    <t>来源</t>
  </si>
  <si>
    <t>来源地址</t>
  </si>
  <si>
    <r>
      <rPr>
        <b/>
        <sz val="10"/>
        <rFont val="宋体"/>
        <charset val="134"/>
      </rPr>
      <t>归一化因子（</t>
    </r>
    <r>
      <rPr>
        <b/>
        <sz val="10"/>
        <rFont val="Times New Roman"/>
        <charset val="134"/>
      </rPr>
      <t>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Times New Roman"/>
        <charset val="134"/>
      </rPr>
      <t>e/(t·km)</t>
    </r>
    <r>
      <rPr>
        <b/>
        <sz val="10"/>
        <color rgb="FF000000"/>
        <rFont val="宋体"/>
        <charset val="134"/>
      </rPr>
      <t>）</t>
    </r>
  </si>
  <si>
    <t>状态</t>
  </si>
  <si>
    <r>
      <rPr>
        <sz val="10"/>
        <rFont val="Times New Roman"/>
        <charset val="134"/>
      </rPr>
      <t>Smart Freight Centre / Clean Cargo</t>
    </r>
  </si>
  <si>
    <r>
      <rPr>
        <sz val="10"/>
        <rFont val="Times New Roman"/>
        <charset val="134"/>
      </rPr>
      <t>https://www.smartfreightcentre.org/documents/971/Clean_Cargo_-_2026_Global_Ocean_Container_Emissions_Report_09_06_26.pdf</t>
    </r>
  </si>
  <si>
    <r>
      <rPr>
        <sz val="10"/>
        <rFont val="宋体"/>
        <charset val="134"/>
      </rPr>
      <t>纳入</t>
    </r>
  </si>
  <si>
    <r>
      <rPr>
        <sz val="10"/>
        <rFont val="Times New Roman"/>
        <charset val="134"/>
      </rPr>
      <t>UK DESNZ</t>
    </r>
  </si>
  <si>
    <r>
      <rPr>
        <sz val="10"/>
        <rFont val="Times New Roman"/>
        <charset val="134"/>
      </rPr>
      <t>https://www.gov.uk/government/publications/greenhouse-gas-reporting-conversion-factors-2026</t>
    </r>
  </si>
  <si>
    <r>
      <rPr>
        <sz val="10"/>
        <rFont val="Times New Roman"/>
        <charset val="134"/>
      </rPr>
      <t>CE Delft / STREAM</t>
    </r>
  </si>
  <si>
    <r>
      <rPr>
        <sz val="10"/>
        <rFont val="Times New Roman"/>
        <charset val="134"/>
      </rPr>
      <t>https://cedelft.eu/wp-content/uploads/sites/2/2021/03/CE_Delft_190325_STREAM_Freight_Transport_2020_FINAL.pdf</t>
    </r>
  </si>
  <si>
    <r>
      <rPr>
        <sz val="10"/>
        <rFont val="Times New Roman"/>
        <charset val="134"/>
      </rPr>
      <t>CPCD</t>
    </r>
    <r>
      <rPr>
        <sz val="10"/>
        <rFont val="宋体"/>
        <charset val="134"/>
      </rPr>
      <t>（英利报告二次引用）</t>
    </r>
  </si>
  <si>
    <r>
      <rPr>
        <sz val="10"/>
        <rFont val="Times New Roman"/>
        <charset val="134"/>
      </rPr>
      <t>https://file.yinglisolar.com/2025/03/10/1741570362276.pdf</t>
    </r>
  </si>
  <si>
    <r>
      <rPr>
        <sz val="10"/>
        <rFont val="Times New Roman"/>
        <charset val="134"/>
      </rPr>
      <t>ecoinvent</t>
    </r>
    <r>
      <rPr>
        <sz val="10"/>
        <rFont val="宋体"/>
        <charset val="134"/>
      </rPr>
      <t>（万润报告二次引用）</t>
    </r>
  </si>
  <si>
    <r>
      <rPr>
        <sz val="10"/>
        <rFont val="Times New Roman"/>
        <charset val="134"/>
      </rPr>
      <t>https://www.valiant-cn.com/upload/news/file/20220929/20220929095428_40610.pdf</t>
    </r>
  </si>
  <si>
    <r>
      <rPr>
        <sz val="10"/>
        <rFont val="宋体"/>
        <charset val="134"/>
      </rPr>
      <t>未纳入</t>
    </r>
  </si>
  <si>
    <r>
      <rPr>
        <sz val="10"/>
        <rFont val="Times New Roman"/>
        <charset val="134"/>
      </rPr>
      <t>ECTA / Cefic / McKinnon</t>
    </r>
  </si>
  <si>
    <r>
      <rPr>
        <sz val="10"/>
        <rFont val="Times New Roman"/>
        <charset val="134"/>
      </rPr>
      <t>https://www.ecta.com/wp-content/uploads/2021/03/ECTA-CEFIC-GUIDELINE-FOR-MEASURING-AND-MANAGING-CO2-ISSUE-1.pdf</t>
    </r>
  </si>
  <si>
    <r>
      <rPr>
        <sz val="10"/>
        <rFont val="宋体"/>
        <charset val="134"/>
      </rPr>
      <t>生态环境部</t>
    </r>
  </si>
  <si>
    <r>
      <rPr>
        <sz val="10"/>
        <rFont val="Times New Roman"/>
        <charset val="134"/>
      </rPr>
      <t>https://www.mee.gov.cn/xxgk2018/xxgk/xxgk06/202503/W020250328550120480532.pdf</t>
    </r>
  </si>
  <si>
    <r>
      <rPr>
        <sz val="10"/>
        <rFont val="Times New Roman"/>
        <charset val="134"/>
      </rPr>
      <t>Smart Freight Centre / GLEC v3.2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IMO</t>
    </r>
    <r>
      <rPr>
        <sz val="10"/>
        <rFont val="宋体"/>
        <charset val="134"/>
      </rPr>
      <t>底层）</t>
    </r>
  </si>
  <si>
    <r>
      <rPr>
        <sz val="10"/>
        <rFont val="Times New Roman"/>
        <charset val="134"/>
      </rPr>
      <t>https://smartfreightcentre.org/news/13311209</t>
    </r>
  </si>
  <si>
    <r>
      <rPr>
        <sz val="10"/>
        <rFont val="Times New Roman"/>
        <charset val="134"/>
      </rPr>
      <t>CPCD</t>
    </r>
    <r>
      <rPr>
        <sz val="10"/>
        <rFont val="宋体"/>
        <charset val="134"/>
      </rPr>
      <t>（当纳利报告二次引用）</t>
    </r>
  </si>
  <si>
    <r>
      <rPr>
        <sz val="10"/>
        <rFont val="Times New Roman"/>
        <charset val="134"/>
      </rPr>
      <t>https://www.rrd.com/docs/global/asia/about/2024-product-carbon-footprint.pdf</t>
    </r>
  </si>
  <si>
    <r>
      <rPr>
        <sz val="10"/>
        <rFont val="Times New Roman"/>
        <charset val="134"/>
      </rPr>
      <t>ecoinvent 3.8</t>
    </r>
    <r>
      <rPr>
        <sz val="10"/>
        <rFont val="宋体"/>
        <charset val="134"/>
      </rPr>
      <t>（多米诺报告二次引用）</t>
    </r>
  </si>
  <si>
    <r>
      <rPr>
        <sz val="10"/>
        <rFont val="Times New Roman"/>
        <charset val="134"/>
      </rPr>
      <t>https://www.domino-printing.com/resources/Chinese/newsletter/%E5%A4%9A%E7%B1%B3%E8%AF%BA%E6%A0%87%E8%AF%86%E7%A7%91%E6%8A%80%EF%BC%88%E5%B8%B8%E7%86%9F%EF%BC%89%E6%9C%89%E9%99%90%E5%85%AC%E5%8F%B8%E4%BA%A7%E5%93%81%E7%A2%B3%E8%B6%B3%E8%BF%B9%E6%A0%B8%E7%AE%97%E6%8A%A5%E5%91%8A.pdf</t>
    </r>
  </si>
  <si>
    <r>
      <rPr>
        <sz val="10"/>
        <rFont val="Times New Roman"/>
        <charset val="134"/>
      </rPr>
      <t>CPCD</t>
    </r>
    <r>
      <rPr>
        <sz val="10"/>
        <rFont val="宋体"/>
        <charset val="134"/>
      </rPr>
      <t>（河北萌帮报告二次引用）</t>
    </r>
  </si>
  <si>
    <r>
      <rPr>
        <sz val="10"/>
        <rFont val="Times New Roman"/>
        <charset val="134"/>
      </rPr>
      <t>https://www.monband.com/upload/202504/23/202504230909373076.pdf</t>
    </r>
  </si>
  <si>
    <r>
      <rPr>
        <sz val="10"/>
        <rFont val="Times New Roman"/>
        <charset val="134"/>
      </rPr>
      <t>EcoTransIT</t>
    </r>
  </si>
  <si>
    <r>
      <rPr>
        <sz val="10"/>
        <rFont val="Times New Roman"/>
        <charset val="134"/>
      </rPr>
      <t>https://www.ecotransit.org/wp-content/uploads/EcoTransIT_World_Methodology_Report_Version_4.1_V2.pdf</t>
    </r>
  </si>
  <si>
    <t>未提供</t>
  </si>
  <si>
    <t>R</t>
  </si>
  <si>
    <t>C</t>
  </si>
  <si>
    <t>Te</t>
  </si>
  <si>
    <t>G</t>
  </si>
  <si>
    <t>T</t>
  </si>
  <si>
    <t>DQR</t>
  </si>
  <si>
    <t>Q</t>
  </si>
  <si>
    <t>W</t>
  </si>
  <si>
    <t>W·ln(e)</t>
  </si>
  <si>
    <t>方法</t>
  </si>
  <si>
    <t>符号</t>
  </si>
  <si>
    <r>
      <rPr>
        <b/>
        <sz val="10"/>
        <rFont val="宋体"/>
        <charset val="134"/>
      </rPr>
      <t>最终结果（</t>
    </r>
    <r>
      <rPr>
        <b/>
        <sz val="10"/>
        <rFont val="Times New Roman"/>
        <charset val="134"/>
      </rPr>
      <t>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Times New Roman"/>
        <charset val="134"/>
      </rPr>
      <t>e/(t·km)</t>
    </r>
    <r>
      <rPr>
        <b/>
        <sz val="10"/>
        <color rgb="FF000000"/>
        <rFont val="宋体"/>
        <charset val="134"/>
      </rPr>
      <t>）</t>
    </r>
  </si>
  <si>
    <t>用途</t>
  </si>
  <si>
    <r>
      <rPr>
        <sz val="10"/>
        <rFont val="宋体"/>
        <charset val="134"/>
      </rPr>
      <t>质量加权几何均值</t>
    </r>
  </si>
  <si>
    <r>
      <rPr>
        <sz val="10"/>
        <rFont val="Times New Roman"/>
        <charset val="134"/>
      </rPr>
      <t>QWGM</t>
    </r>
  </si>
  <si>
    <r>
      <rPr>
        <sz val="10"/>
        <rFont val="宋体"/>
        <charset val="134"/>
      </rPr>
      <t>基准值</t>
    </r>
  </si>
  <si>
    <r>
      <rPr>
        <sz val="10"/>
        <rFont val="宋体"/>
        <charset val="134"/>
      </rPr>
      <t>等权算术均值</t>
    </r>
  </si>
  <si>
    <r>
      <rPr>
        <sz val="10"/>
        <rFont val="Times New Roman"/>
        <charset val="134"/>
      </rPr>
      <t>AM</t>
    </r>
  </si>
  <si>
    <r>
      <rPr>
        <sz val="10"/>
        <rFont val="宋体"/>
        <charset val="134"/>
      </rPr>
      <t>对照值</t>
    </r>
  </si>
  <si>
    <r>
      <rPr>
        <sz val="10"/>
        <rFont val="宋体"/>
        <charset val="134"/>
      </rPr>
      <t>等权几何均值</t>
    </r>
  </si>
  <si>
    <r>
      <rPr>
        <sz val="10"/>
        <rFont val="Times New Roman"/>
        <charset val="134"/>
      </rPr>
      <t>GM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</si>
</sst>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#########"/>
  </numFmts>
  <fonts count="29">
    <font>
      <sz val="11"/>
      <name val="Times New Roman"/>
      <charset val="134"/>
    </font>
    <font>
      <b/>
      <sz val="10"/>
      <name val="宋体"/>
      <charset val="134"/>
    </font>
    <font>
      <sz val="10"/>
      <color rgb="FF000000"/>
      <name val="Times New Roman"/>
      <charset val="134"/>
    </font>
    <font>
      <b/>
      <sz val="10"/>
      <name val="Times New Roman"/>
      <charset val="134"/>
    </font>
    <font>
      <sz val="9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rgb="FF0000FF"/>
      <name val="Times New Roman"/>
      <charset val="134"/>
    </font>
    <font>
      <sz val="11"/>
      <color rgb="FF800080"/>
      <name val="Times New Roman"/>
      <charset val="134"/>
    </font>
    <font>
      <sz val="11"/>
      <color rgb="FFFF0000"/>
      <name val="Times New Roman"/>
      <charset val="134"/>
    </font>
    <font>
      <b/>
      <sz val="18"/>
      <color theme="3"/>
      <name val="Times New Roman"/>
      <charset val="134"/>
    </font>
    <font>
      <i/>
      <sz val="11"/>
      <color rgb="FF7F7F7F"/>
      <name val="Times New Roman"/>
      <charset val="134"/>
    </font>
    <font>
      <b/>
      <sz val="15"/>
      <color theme="3"/>
      <name val="Times New Roman"/>
      <charset val="134"/>
    </font>
    <font>
      <b/>
      <sz val="13"/>
      <color theme="3"/>
      <name val="Times New Roman"/>
      <charset val="134"/>
    </font>
    <font>
      <b/>
      <sz val="11"/>
      <color theme="3"/>
      <name val="Times New Roman"/>
      <charset val="134"/>
    </font>
    <font>
      <sz val="11"/>
      <color rgb="FF3F3F76"/>
      <name val="Times New Roman"/>
      <charset val="134"/>
    </font>
    <font>
      <b/>
      <sz val="11"/>
      <color rgb="FF3F3F3F"/>
      <name val="Times New Roman"/>
      <charset val="134"/>
    </font>
    <font>
      <b/>
      <sz val="11"/>
      <color rgb="FFFA7D00"/>
      <name val="Times New Roman"/>
      <charset val="134"/>
    </font>
    <font>
      <b/>
      <sz val="11"/>
      <color rgb="FFFFFFFF"/>
      <name val="Times New Roman"/>
      <charset val="134"/>
    </font>
    <font>
      <sz val="11"/>
      <color rgb="FFFA7D00"/>
      <name val="Times New Roman"/>
      <charset val="134"/>
    </font>
    <font>
      <b/>
      <sz val="11"/>
      <color theme="1"/>
      <name val="Times New Roman"/>
      <charset val="134"/>
    </font>
    <font>
      <sz val="11"/>
      <color rgb="FF006100"/>
      <name val="Times New Roman"/>
      <charset val="134"/>
    </font>
    <font>
      <sz val="11"/>
      <color rgb="FF9C0006"/>
      <name val="Times New Roman"/>
      <charset val="134"/>
    </font>
    <font>
      <sz val="11"/>
      <color rgb="FF9C6500"/>
      <name val="Times New Roman"/>
      <charset val="134"/>
    </font>
    <font>
      <sz val="11"/>
      <color theme="0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b/>
      <vertAlign val="subscript"/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nband.com/upload/202504/23/202504230909373076.pdf" TargetMode="External"/><Relationship Id="rId1" Type="http://schemas.openxmlformats.org/officeDocument/2006/relationships/hyperlink" Target="https://cedelft.eu/wp-content/uploads/sites/2/2021/03/CE_Delft_190325_STREAM_Freight_Transport_2020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7"/>
  <sheetViews>
    <sheetView tabSelected="1" topLeftCell="A12" workbookViewId="0">
      <selection activeCell="E17" sqref="E17"/>
    </sheetView>
  </sheetViews>
  <sheetFormatPr defaultColWidth="9" defaultRowHeight="13.85" outlineLevelCol="5"/>
  <cols>
    <col min="1" max="1" width="8" customWidth="1"/>
    <col min="2" max="2" width="12" customWidth="1"/>
    <col min="3" max="3" width="32" customWidth="1"/>
    <col min="4" max="4" width="54" customWidth="1"/>
    <col min="5" max="5" width="30.2095238095238" customWidth="1"/>
    <col min="6" max="6" width="12" customWidth="1"/>
  </cols>
  <sheetData>
    <row r="1" ht="2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8" customHeight="1" spans="1:6">
      <c r="A2" s="2">
        <v>1</v>
      </c>
      <c r="B2" s="5">
        <v>2025</v>
      </c>
      <c r="C2" s="2" t="s">
        <v>6</v>
      </c>
      <c r="D2" s="7" t="s">
        <v>7</v>
      </c>
      <c r="E2" s="6">
        <v>0.00697</v>
      </c>
      <c r="F2" s="2" t="s">
        <v>8</v>
      </c>
    </row>
    <row r="3" ht="58" customHeight="1" spans="1:6">
      <c r="A3" s="2">
        <v>2</v>
      </c>
      <c r="B3" s="5">
        <v>2009</v>
      </c>
      <c r="C3" s="2" t="s">
        <v>9</v>
      </c>
      <c r="D3" s="7" t="s">
        <v>10</v>
      </c>
      <c r="E3" s="6">
        <v>0.01553</v>
      </c>
      <c r="F3" s="2" t="s">
        <v>8</v>
      </c>
    </row>
    <row r="4" ht="58" customHeight="1" spans="1:6">
      <c r="A4" s="2">
        <v>3</v>
      </c>
      <c r="B4" s="5">
        <v>2018</v>
      </c>
      <c r="C4" s="2" t="s">
        <v>11</v>
      </c>
      <c r="D4" s="7" t="s">
        <v>12</v>
      </c>
      <c r="E4" s="6">
        <v>0.0115</v>
      </c>
      <c r="F4" s="2" t="s">
        <v>8</v>
      </c>
    </row>
    <row r="5" ht="58" customHeight="1" spans="1:6">
      <c r="A5" s="2">
        <v>4</v>
      </c>
      <c r="B5" s="5">
        <v>2023</v>
      </c>
      <c r="C5" s="2" t="s">
        <v>13</v>
      </c>
      <c r="D5" s="7" t="s">
        <v>14</v>
      </c>
      <c r="E5" s="6">
        <v>0.01</v>
      </c>
      <c r="F5" s="2" t="s">
        <v>8</v>
      </c>
    </row>
    <row r="6" ht="58" customHeight="1" spans="1:6">
      <c r="A6" s="2">
        <v>5</v>
      </c>
      <c r="B6" s="5">
        <v>2022</v>
      </c>
      <c r="C6" s="2" t="s">
        <v>15</v>
      </c>
      <c r="D6" s="7" t="s">
        <v>16</v>
      </c>
      <c r="E6" s="6">
        <v>0.0113</v>
      </c>
      <c r="F6" s="2" t="s">
        <v>17</v>
      </c>
    </row>
    <row r="7" ht="58" customHeight="1" spans="1:6">
      <c r="A7" s="2">
        <v>6</v>
      </c>
      <c r="B7" s="5">
        <v>2011</v>
      </c>
      <c r="C7" s="2" t="s">
        <v>18</v>
      </c>
      <c r="D7" s="7" t="s">
        <v>19</v>
      </c>
      <c r="E7" s="6">
        <v>0.0084</v>
      </c>
      <c r="F7" s="2" t="s">
        <v>17</v>
      </c>
    </row>
    <row r="8" ht="58" customHeight="1" spans="1:6">
      <c r="A8" s="2">
        <v>7</v>
      </c>
      <c r="B8" s="5">
        <v>2025</v>
      </c>
      <c r="C8" s="2" t="s">
        <v>20</v>
      </c>
      <c r="D8" s="7" t="s">
        <v>21</v>
      </c>
      <c r="E8" s="6">
        <v>0.02</v>
      </c>
      <c r="F8" s="2" t="s">
        <v>8</v>
      </c>
    </row>
    <row r="9" ht="58" customHeight="1" spans="1:6">
      <c r="A9" s="2">
        <v>8</v>
      </c>
      <c r="B9" s="5">
        <v>2018</v>
      </c>
      <c r="C9" s="2" t="s">
        <v>22</v>
      </c>
      <c r="D9" s="7" t="s">
        <v>23</v>
      </c>
      <c r="E9" s="6">
        <v>0.0101</v>
      </c>
      <c r="F9" s="2" t="s">
        <v>8</v>
      </c>
    </row>
    <row r="10" ht="58" customHeight="1" spans="1:6">
      <c r="A10" s="2">
        <v>9</v>
      </c>
      <c r="B10" s="5">
        <v>2025</v>
      </c>
      <c r="C10" s="2" t="s">
        <v>6</v>
      </c>
      <c r="D10" s="7" t="s">
        <v>7</v>
      </c>
      <c r="E10" s="6">
        <v>0.00571</v>
      </c>
      <c r="F10" s="2" t="s">
        <v>17</v>
      </c>
    </row>
    <row r="11" ht="58" customHeight="1" spans="1:6">
      <c r="A11" s="2">
        <v>10</v>
      </c>
      <c r="B11" s="5">
        <v>2024</v>
      </c>
      <c r="C11" s="2" t="s">
        <v>6</v>
      </c>
      <c r="D11" s="7" t="s">
        <v>7</v>
      </c>
      <c r="E11" s="6">
        <v>0.00624</v>
      </c>
      <c r="F11" s="2" t="s">
        <v>17</v>
      </c>
    </row>
    <row r="12" ht="58" customHeight="1" spans="1:6">
      <c r="A12" s="2">
        <v>11</v>
      </c>
      <c r="B12" s="5">
        <v>2009</v>
      </c>
      <c r="C12" s="2" t="s">
        <v>9</v>
      </c>
      <c r="D12" s="7" t="s">
        <v>10</v>
      </c>
      <c r="E12" s="6">
        <v>0.01977</v>
      </c>
      <c r="F12" s="2" t="s">
        <v>17</v>
      </c>
    </row>
    <row r="13" ht="58" customHeight="1" spans="1:6">
      <c r="A13" s="2">
        <v>12</v>
      </c>
      <c r="B13" s="5">
        <v>2009</v>
      </c>
      <c r="C13" s="2" t="s">
        <v>9</v>
      </c>
      <c r="D13" s="7" t="s">
        <v>10</v>
      </c>
      <c r="E13" s="6">
        <v>0.04508</v>
      </c>
      <c r="F13" s="2" t="s">
        <v>17</v>
      </c>
    </row>
    <row r="14" ht="58" customHeight="1" spans="1:6">
      <c r="A14" s="2">
        <v>13</v>
      </c>
      <c r="B14" s="5">
        <v>2023</v>
      </c>
      <c r="C14" s="2" t="s">
        <v>24</v>
      </c>
      <c r="D14" s="7" t="s">
        <v>25</v>
      </c>
      <c r="E14" s="6">
        <v>0.00872</v>
      </c>
      <c r="F14" s="2" t="s">
        <v>17</v>
      </c>
    </row>
    <row r="15" ht="91.9" spans="1:6">
      <c r="A15" s="2">
        <v>14</v>
      </c>
      <c r="B15" s="5">
        <v>2023</v>
      </c>
      <c r="C15" s="2" t="s">
        <v>26</v>
      </c>
      <c r="D15" s="7" t="s">
        <v>27</v>
      </c>
      <c r="E15" s="6">
        <v>0.006494574</v>
      </c>
      <c r="F15" s="2" t="s">
        <v>17</v>
      </c>
    </row>
    <row r="16" ht="58" customHeight="1" spans="1:6">
      <c r="A16" s="2">
        <v>15</v>
      </c>
      <c r="B16" s="5">
        <v>2024</v>
      </c>
      <c r="C16" s="2" t="s">
        <v>28</v>
      </c>
      <c r="D16" s="7" t="s">
        <v>29</v>
      </c>
      <c r="E16" s="6">
        <v>0.015</v>
      </c>
      <c r="F16" s="2" t="s">
        <v>17</v>
      </c>
    </row>
    <row r="17" ht="58" customHeight="1" spans="1:6">
      <c r="A17" s="2">
        <v>16</v>
      </c>
      <c r="B17" s="5">
        <v>2026</v>
      </c>
      <c r="C17" s="2" t="s">
        <v>30</v>
      </c>
      <c r="D17" s="7" t="s">
        <v>31</v>
      </c>
      <c r="E17" s="6" t="s">
        <v>32</v>
      </c>
      <c r="F17" s="2" t="s">
        <v>17</v>
      </c>
    </row>
  </sheetData>
  <hyperlinks>
    <hyperlink ref="D4" r:id="rId1" display="https://cedelft.eu/wp-content/uploads/sites/2/2021/03/CE_Delft_190325_STREAM_Freight_Transport_2020_FINAL.pdf"/>
    <hyperlink ref="D16" r:id="rId2" display="https://www.monband.com/upload/202504/23/202504230909373076.pdf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7"/>
  <sheetViews>
    <sheetView workbookViewId="0">
      <selection activeCell="D5" sqref="D5"/>
    </sheetView>
  </sheetViews>
  <sheetFormatPr defaultColWidth="9" defaultRowHeight="13.85" outlineLevelRow="6"/>
  <cols>
    <col min="1" max="1" width="8" customWidth="1"/>
    <col min="2" max="2" width="34" customWidth="1"/>
    <col min="3" max="3" width="12" customWidth="1"/>
    <col min="4" max="4" width="27.8761904761905" customWidth="1"/>
    <col min="5" max="9" width="7" customWidth="1"/>
    <col min="10" max="11" width="10" customWidth="1"/>
    <col min="12" max="12" width="12" customWidth="1"/>
    <col min="13" max="13" width="16" customWidth="1"/>
  </cols>
  <sheetData>
    <row r="1" ht="24" customHeight="1" spans="1:13">
      <c r="A1" s="1" t="s">
        <v>0</v>
      </c>
      <c r="B1" s="1" t="s">
        <v>2</v>
      </c>
      <c r="C1" s="1" t="s">
        <v>1</v>
      </c>
      <c r="D1" s="1" t="s">
        <v>4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</row>
    <row r="2" ht="34" customHeight="1" spans="1:13">
      <c r="A2" s="2">
        <v>1</v>
      </c>
      <c r="B2" s="2" t="s">
        <v>6</v>
      </c>
      <c r="C2" s="5">
        <v>2025</v>
      </c>
      <c r="D2" s="6">
        <v>0.00697</v>
      </c>
      <c r="E2" s="5">
        <v>1</v>
      </c>
      <c r="F2" s="5">
        <v>3</v>
      </c>
      <c r="G2" s="5">
        <v>1</v>
      </c>
      <c r="H2" s="5">
        <v>1</v>
      </c>
      <c r="I2" s="5">
        <v>1</v>
      </c>
      <c r="J2" s="3">
        <f t="shared" ref="J2:J7" si="0">AVERAGE(E2:I2)</f>
        <v>1.4</v>
      </c>
      <c r="K2" s="3">
        <f t="shared" ref="K2:K7" si="1">(5-J2)/4</f>
        <v>0.9</v>
      </c>
      <c r="L2" s="3">
        <f t="shared" ref="L2:L7" si="2">K2/SUM($K$2:$K$7)</f>
        <v>0.227848101265823</v>
      </c>
      <c r="M2" s="3">
        <f t="shared" ref="M2:M7" si="3">L2*LN(D2)</f>
        <v>-1.13152558197183</v>
      </c>
    </row>
    <row r="3" ht="34" customHeight="1" spans="1:13">
      <c r="A3" s="2">
        <v>2</v>
      </c>
      <c r="B3" s="2" t="s">
        <v>9</v>
      </c>
      <c r="C3" s="5">
        <v>2009</v>
      </c>
      <c r="D3" s="6">
        <v>0.01553</v>
      </c>
      <c r="E3" s="5">
        <v>1</v>
      </c>
      <c r="F3" s="5">
        <v>2</v>
      </c>
      <c r="G3" s="5">
        <v>1</v>
      </c>
      <c r="H3" s="5">
        <v>2</v>
      </c>
      <c r="I3" s="5">
        <v>5</v>
      </c>
      <c r="J3" s="3">
        <f t="shared" si="0"/>
        <v>2.2</v>
      </c>
      <c r="K3" s="3">
        <f t="shared" si="1"/>
        <v>0.7</v>
      </c>
      <c r="L3" s="3">
        <f t="shared" si="2"/>
        <v>0.177215189873418</v>
      </c>
      <c r="M3" s="3">
        <f t="shared" si="3"/>
        <v>-0.738098012474704</v>
      </c>
    </row>
    <row r="4" ht="34" customHeight="1" spans="1:13">
      <c r="A4" s="2">
        <v>3</v>
      </c>
      <c r="B4" s="2" t="s">
        <v>11</v>
      </c>
      <c r="C4" s="5">
        <v>2018</v>
      </c>
      <c r="D4" s="6">
        <v>0.0115</v>
      </c>
      <c r="E4" s="5">
        <v>3</v>
      </c>
      <c r="F4" s="5">
        <v>1</v>
      </c>
      <c r="G4" s="5">
        <v>2</v>
      </c>
      <c r="H4" s="5">
        <v>2</v>
      </c>
      <c r="I4" s="5">
        <v>3</v>
      </c>
      <c r="J4" s="3">
        <f t="shared" si="0"/>
        <v>2.2</v>
      </c>
      <c r="K4" s="3">
        <f t="shared" si="1"/>
        <v>0.7</v>
      </c>
      <c r="L4" s="3">
        <f t="shared" si="2"/>
        <v>0.177215189873418</v>
      </c>
      <c r="M4" s="3">
        <f t="shared" si="3"/>
        <v>-0.791338169754191</v>
      </c>
    </row>
    <row r="5" ht="34" customHeight="1" spans="1:13">
      <c r="A5" s="2">
        <v>4</v>
      </c>
      <c r="B5" s="2" t="s">
        <v>13</v>
      </c>
      <c r="C5" s="5">
        <v>2023</v>
      </c>
      <c r="D5" s="6">
        <v>0.01</v>
      </c>
      <c r="E5" s="5">
        <v>4</v>
      </c>
      <c r="F5" s="5">
        <v>4</v>
      </c>
      <c r="G5" s="5">
        <v>1</v>
      </c>
      <c r="H5" s="5">
        <v>2</v>
      </c>
      <c r="I5" s="5">
        <v>5</v>
      </c>
      <c r="J5" s="3">
        <f t="shared" si="0"/>
        <v>3.2</v>
      </c>
      <c r="K5" s="3">
        <f t="shared" si="1"/>
        <v>0.45</v>
      </c>
      <c r="L5" s="3">
        <f t="shared" si="2"/>
        <v>0.113924050632911</v>
      </c>
      <c r="M5" s="3">
        <f t="shared" si="3"/>
        <v>-0.524639641441681</v>
      </c>
    </row>
    <row r="6" ht="34" customHeight="1" spans="1:13">
      <c r="A6" s="2">
        <v>7</v>
      </c>
      <c r="B6" s="2" t="s">
        <v>20</v>
      </c>
      <c r="C6" s="5">
        <v>2025</v>
      </c>
      <c r="D6" s="6">
        <v>0.02</v>
      </c>
      <c r="E6" s="5">
        <v>1</v>
      </c>
      <c r="F6" s="5">
        <v>3</v>
      </c>
      <c r="G6" s="5">
        <v>4</v>
      </c>
      <c r="H6" s="5">
        <v>2</v>
      </c>
      <c r="I6" s="5">
        <v>5</v>
      </c>
      <c r="J6" s="3">
        <f t="shared" si="0"/>
        <v>3</v>
      </c>
      <c r="K6" s="3">
        <f t="shared" si="1"/>
        <v>0.5</v>
      </c>
      <c r="L6" s="3">
        <f t="shared" si="2"/>
        <v>0.126582278481013</v>
      </c>
      <c r="M6" s="3">
        <f t="shared" si="3"/>
        <v>-0.495192785497234</v>
      </c>
    </row>
    <row r="7" ht="34" customHeight="1" spans="1:13">
      <c r="A7" s="2">
        <v>8</v>
      </c>
      <c r="B7" s="2" t="s">
        <v>22</v>
      </c>
      <c r="C7" s="5">
        <v>2018</v>
      </c>
      <c r="D7" s="6">
        <v>0.0101</v>
      </c>
      <c r="E7" s="5">
        <v>2</v>
      </c>
      <c r="F7" s="5">
        <v>1</v>
      </c>
      <c r="G7" s="5">
        <v>4</v>
      </c>
      <c r="H7" s="5">
        <v>1</v>
      </c>
      <c r="I7" s="5">
        <v>3</v>
      </c>
      <c r="J7" s="3">
        <f t="shared" si="0"/>
        <v>2.2</v>
      </c>
      <c r="K7" s="3">
        <f t="shared" si="1"/>
        <v>0.7</v>
      </c>
      <c r="L7" s="3">
        <f t="shared" si="2"/>
        <v>0.177215189873418</v>
      </c>
      <c r="M7" s="3">
        <f t="shared" si="3"/>
        <v>-0.814342759137834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4"/>
  <sheetViews>
    <sheetView workbookViewId="0">
      <selection activeCell="E16" sqref="E16"/>
    </sheetView>
  </sheetViews>
  <sheetFormatPr defaultColWidth="9" defaultRowHeight="13.85" outlineLevelRow="3" outlineLevelCol="3"/>
  <cols>
    <col min="1" max="1" width="24" customWidth="1"/>
    <col min="2" max="2" width="12" customWidth="1"/>
    <col min="3" max="3" width="28" customWidth="1"/>
    <col min="4" max="4" width="14" customWidth="1"/>
  </cols>
  <sheetData>
    <row r="1" ht="24" customHeight="1" spans="1:4">
      <c r="A1" s="1" t="s">
        <v>42</v>
      </c>
      <c r="B1" s="1" t="s">
        <v>43</v>
      </c>
      <c r="C1" s="1" t="s">
        <v>44</v>
      </c>
      <c r="D1" s="1" t="s">
        <v>45</v>
      </c>
    </row>
    <row r="2" ht="28" customHeight="1" spans="1:4">
      <c r="A2" s="2" t="s">
        <v>46</v>
      </c>
      <c r="B2" s="2" t="s">
        <v>47</v>
      </c>
      <c r="C2" s="3">
        <f>EXP(SUM('02_评分与权重'!M2:M7))</f>
        <v>0.0111631517137032</v>
      </c>
      <c r="D2" s="2" t="s">
        <v>48</v>
      </c>
    </row>
    <row r="3" ht="28" customHeight="1" spans="1:4">
      <c r="A3" s="2" t="s">
        <v>49</v>
      </c>
      <c r="B3" s="2" t="s">
        <v>50</v>
      </c>
      <c r="C3" s="3">
        <f>AVERAGE('02_评分与权重'!D2:D7)</f>
        <v>0.01235</v>
      </c>
      <c r="D3" s="2" t="s">
        <v>51</v>
      </c>
    </row>
    <row r="4" ht="28" customHeight="1" spans="1:4">
      <c r="A4" s="2" t="s">
        <v>52</v>
      </c>
      <c r="B4" s="2" t="s">
        <v>53</v>
      </c>
      <c r="C4" s="3">
        <f>GEOMEAN('02_评分与权重'!D2:D7)</f>
        <v>0.0116611730592083</v>
      </c>
      <c r="D4" s="2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01_数据来源</vt:lpstr>
      <vt:lpstr>02_评分与权重</vt:lpstr>
      <vt:lpstr>03_最终结果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朱易成</dc:creator>
  <cp:lastModifiedBy>朱易成</cp:lastModifiedBy>
  <dcterms:created xsi:type="dcterms:W3CDTF">2026-09-02T04:08:00Z</dcterms:created>
  <dcterms:modified xsi:type="dcterms:W3CDTF">2026-09-02T04:15:02Z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F71149557232439AB72484646AD5E3A1_12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