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0752" windowHeight="8205"/>
  </bookViews>
  <sheets>
    <sheet name="01_数据来源" sheetId="1" r:id="rId1"/>
    <sheet name="02_评分与权重" sheetId="2" r:id="rId2"/>
    <sheet name="03_最终结果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<sst xmlns="http://schemas.openxmlformats.org/spreadsheetml/2006/main" count="63" uniqueCount="41">
  <si>
    <t>编号</t>
  </si>
  <si>
    <t>数据年份</t>
  </si>
  <si>
    <t>来源</t>
  </si>
  <si>
    <t>来源地址</t>
  </si>
  <si>
    <r>
      <rPr>
        <b/>
        <sz val="10"/>
        <color rgb="FF000000"/>
        <rFont val="宋体"/>
        <charset val="134"/>
      </rPr>
      <t>归一化因子（</t>
    </r>
    <r>
      <rPr>
        <b/>
        <sz val="10"/>
        <color rgb="FF000000"/>
        <rFont val="Times New Roman"/>
        <charset val="134"/>
      </rPr>
      <t>kgCO</t>
    </r>
    <r>
      <rPr>
        <b/>
        <vertAlign val="subscript"/>
        <sz val="10"/>
        <color rgb="FF000000"/>
        <rFont val="Times New Roman"/>
        <charset val="134"/>
      </rPr>
      <t>2</t>
    </r>
    <r>
      <rPr>
        <b/>
        <sz val="10"/>
        <color rgb="FF000000"/>
        <rFont val="Times New Roman"/>
        <charset val="134"/>
      </rPr>
      <t>e/(t·km)</t>
    </r>
    <r>
      <rPr>
        <b/>
        <sz val="10"/>
        <color rgb="FF000000"/>
        <rFont val="宋体"/>
        <charset val="134"/>
      </rPr>
      <t>）</t>
    </r>
  </si>
  <si>
    <t>状态</t>
  </si>
  <si>
    <t>Smart Freight Centre / GLEC v3.2（China road Table 12）</t>
  </si>
  <si>
    <t>https://smart-freight-centre-media.s3.amazonaws.com/documents/GLEC_FRAMEWORK_v3.2_21_10_25_1.pdf</t>
  </si>
  <si>
    <t>纳入</t>
  </si>
  <si>
    <t>UK DESNZ GHG Conversion Factors 2026</t>
  </si>
  <si>
    <t>https://www.gov.uk/government/publications/greenhouse-gas-reporting-conversion-factors-2026</t>
  </si>
  <si>
    <t>New Zealand Ministry for the Environment, Measuring Emissions Catalogue 2026（All trucks）</t>
  </si>
  <si>
    <t>https://measuringemissionsguide.environment.govt.nz/8_freight.html</t>
  </si>
  <si>
    <t>CE Delft, STREAM Freight Transport 2020</t>
  </si>
  <si>
    <t>https://cedelft.eu/wp-content/uploads/sites/2/2021/03/CE_Delft_190325_STREAM_Freight_Transport_2020_FINAL.pdf</t>
  </si>
  <si>
    <t>未纳入</t>
  </si>
  <si>
    <t>Smart Freight Centre / GLEC v3.2（Europe/South America）</t>
  </si>
  <si>
    <t>New Zealand Ministry for the Environment, Measuring Emissions Catalogue 2026（Urban delivery heavy truck）</t>
  </si>
  <si>
    <t>US EPA GHG Emission Factors Hub 2025</t>
  </si>
  <si>
    <t>https://www.epa.gov/climateleadership/ghg-emission-factors-hub</t>
  </si>
  <si>
    <t>R</t>
  </si>
  <si>
    <t>C</t>
  </si>
  <si>
    <t>Te</t>
  </si>
  <si>
    <t>G</t>
  </si>
  <si>
    <t>T</t>
  </si>
  <si>
    <t>DQR</t>
  </si>
  <si>
    <t>Q</t>
  </si>
  <si>
    <t>W</t>
  </si>
  <si>
    <t>W·ln(e)</t>
  </si>
  <si>
    <t>方法</t>
  </si>
  <si>
    <t>符号</t>
  </si>
  <si>
    <r>
      <t>最终结果（</t>
    </r>
    <r>
      <rPr>
        <b/>
        <sz val="10"/>
        <color rgb="FF000000"/>
        <rFont val="Times New Roman"/>
        <charset val="134"/>
      </rPr>
      <t>kgCO</t>
    </r>
    <r>
      <rPr>
        <b/>
        <vertAlign val="subscript"/>
        <sz val="10"/>
        <color rgb="FF000000"/>
        <rFont val="Times New Roman"/>
        <charset val="134"/>
      </rPr>
      <t>2</t>
    </r>
    <r>
      <rPr>
        <b/>
        <sz val="10"/>
        <color rgb="FF000000"/>
        <rFont val="Times New Roman"/>
        <charset val="134"/>
      </rPr>
      <t>e/(t·km)</t>
    </r>
    <r>
      <rPr>
        <b/>
        <sz val="10"/>
        <color rgb="FF000000"/>
        <rFont val="宋体"/>
        <charset val="134"/>
      </rPr>
      <t>）</t>
    </r>
  </si>
  <si>
    <t>用途</t>
  </si>
  <si>
    <t>质量加权几何均值</t>
  </si>
  <si>
    <t>QWGM</t>
  </si>
  <si>
    <t>基准值</t>
  </si>
  <si>
    <t>等权算术均值</t>
  </si>
  <si>
    <t>AM</t>
  </si>
  <si>
    <t>对照值</t>
  </si>
  <si>
    <t>等权几何均值</t>
  </si>
  <si>
    <t>GM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</si>
</sst>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0"/>
    <numFmt numFmtId="177" formatCode="0.0000"/>
  </numFmts>
  <fonts count="28">
    <font>
      <sz val="11"/>
      <name val="Carlito"/>
      <charset val="134"/>
    </font>
    <font>
      <b/>
      <sz val="11"/>
      <name val="Carlito"/>
      <charset val="134"/>
    </font>
    <font>
      <b/>
      <sz val="10"/>
      <color rgb="FF000000"/>
      <name val="宋体"/>
      <charset val="134"/>
    </font>
    <font>
      <sz val="10"/>
      <color rgb="FF000000"/>
      <name val="宋体"/>
      <charset val="134"/>
    </font>
    <font>
      <sz val="10"/>
      <color rgb="FF000000"/>
      <name val="Times New Roman"/>
      <charset val="134"/>
    </font>
    <font>
      <b/>
      <sz val="10"/>
      <color rgb="FF000000"/>
      <name val="Times New Roman"/>
      <charset val="134"/>
    </font>
    <font>
      <sz val="9"/>
      <color rgb="FF000000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vertAlign val="subscript"/>
      <sz val="10"/>
      <color rgb="FF000000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2" borderId="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4" applyNumberFormat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4" borderId="4" applyNumberFormat="0" applyAlignment="0" applyProtection="0">
      <alignment vertical="center"/>
    </xf>
    <xf numFmtId="0" fontId="19" fillId="5" borderId="6" applyNumberFormat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0" fillId="0" borderId="0"/>
  </cellStyleXfs>
  <cellXfs count="10">
    <xf numFmtId="0" fontId="0" fillId="0" borderId="0" xfId="49"/>
    <xf numFmtId="0" fontId="1" fillId="0" borderId="0" xfId="49" applyFont="1"/>
    <xf numFmtId="0" fontId="2" fillId="0" borderId="0" xfId="49" applyNumberFormat="1" applyFont="1" applyFill="1" applyBorder="1" applyAlignment="1">
      <alignment horizontal="center" vertical="center" wrapText="1"/>
    </xf>
    <xf numFmtId="0" fontId="3" fillId="0" borderId="0" xfId="49" applyNumberFormat="1" applyFont="1" applyFill="1" applyBorder="1" applyAlignment="1">
      <alignment horizontal="center" vertical="center" wrapText="1"/>
    </xf>
    <xf numFmtId="0" fontId="4" fillId="0" borderId="0" xfId="49" applyNumberFormat="1" applyFont="1" applyFill="1" applyBorder="1" applyAlignment="1">
      <alignment horizontal="center" vertical="center" wrapText="1"/>
    </xf>
    <xf numFmtId="176" fontId="4" fillId="0" borderId="0" xfId="49" applyNumberFormat="1" applyFont="1" applyFill="1" applyBorder="1" applyAlignment="1">
      <alignment horizontal="center" vertical="center" wrapText="1"/>
    </xf>
    <xf numFmtId="0" fontId="5" fillId="0" borderId="0" xfId="49" applyNumberFormat="1" applyFont="1" applyFill="1" applyBorder="1" applyAlignment="1">
      <alignment horizontal="center" vertical="center" wrapText="1"/>
    </xf>
    <xf numFmtId="1" fontId="4" fillId="0" borderId="0" xfId="49" applyNumberFormat="1" applyFont="1" applyFill="1" applyBorder="1" applyAlignment="1">
      <alignment horizontal="center" vertical="center" wrapText="1"/>
    </xf>
    <xf numFmtId="177" fontId="4" fillId="0" borderId="0" xfId="49" applyNumberFormat="1" applyFont="1" applyFill="1" applyBorder="1" applyAlignment="1">
      <alignment horizontal="center" vertical="center" wrapText="1"/>
    </xf>
    <xf numFmtId="0" fontId="6" fillId="0" borderId="0" xfId="49" applyNumberFormat="1" applyFont="1" applyFill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F10"/>
  <sheetViews>
    <sheetView tabSelected="1" workbookViewId="0">
      <selection activeCell="E1" sqref="E1"/>
    </sheetView>
  </sheetViews>
  <sheetFormatPr defaultColWidth="9" defaultRowHeight="13.5" outlineLevelCol="5"/>
  <cols>
    <col min="1" max="1" width="8" customWidth="1"/>
    <col min="2" max="2" width="10" customWidth="1"/>
    <col min="3" max="3" width="42" customWidth="1"/>
    <col min="4" max="4" width="52" customWidth="1"/>
    <col min="5" max="5" width="24" customWidth="1"/>
    <col min="6" max="6" width="12" customWidth="1"/>
  </cols>
  <sheetData>
    <row r="1" ht="28" customHeight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ht="54" customHeight="1" spans="1:6">
      <c r="A2" s="7">
        <v>1</v>
      </c>
      <c r="B2" s="7">
        <v>2019</v>
      </c>
      <c r="C2" s="4" t="s">
        <v>6</v>
      </c>
      <c r="D2" s="9" t="s">
        <v>7</v>
      </c>
      <c r="E2" s="5">
        <v>0.151301300287281</v>
      </c>
      <c r="F2" s="3" t="s">
        <v>8</v>
      </c>
    </row>
    <row r="3" ht="54" customHeight="1" spans="1:6">
      <c r="A3" s="7">
        <v>2</v>
      </c>
      <c r="B3" s="7">
        <v>2022</v>
      </c>
      <c r="C3" s="4" t="s">
        <v>9</v>
      </c>
      <c r="D3" s="9" t="s">
        <v>10</v>
      </c>
      <c r="E3" s="5">
        <v>0.24279</v>
      </c>
      <c r="F3" s="3" t="s">
        <v>8</v>
      </c>
    </row>
    <row r="4" ht="54" customHeight="1" spans="1:6">
      <c r="A4" s="7">
        <v>3</v>
      </c>
      <c r="B4" s="7">
        <v>2019</v>
      </c>
      <c r="C4" s="4" t="s">
        <v>11</v>
      </c>
      <c r="D4" s="9" t="s">
        <v>12</v>
      </c>
      <c r="E4" s="5">
        <v>0.135</v>
      </c>
      <c r="F4" s="3" t="s">
        <v>8</v>
      </c>
    </row>
    <row r="5" ht="54" customHeight="1" spans="1:6">
      <c r="A5" s="7">
        <v>4</v>
      </c>
      <c r="B5" s="7">
        <v>2018</v>
      </c>
      <c r="C5" s="4" t="s">
        <v>13</v>
      </c>
      <c r="D5" s="9" t="s">
        <v>14</v>
      </c>
      <c r="E5" s="5">
        <v>0.224386407787994</v>
      </c>
      <c r="F5" s="3" t="s">
        <v>8</v>
      </c>
    </row>
    <row r="6" ht="54" customHeight="1" spans="1:6">
      <c r="A6" s="7">
        <v>5</v>
      </c>
      <c r="B6" s="7">
        <v>2024</v>
      </c>
      <c r="C6" s="4" t="s">
        <v>6</v>
      </c>
      <c r="D6" s="9" t="s">
        <v>7</v>
      </c>
      <c r="E6" s="5">
        <v>0.09544</v>
      </c>
      <c r="F6" s="3" t="s">
        <v>15</v>
      </c>
    </row>
    <row r="7" ht="54" customHeight="1" spans="1:6">
      <c r="A7" s="7">
        <v>6</v>
      </c>
      <c r="B7" s="7">
        <v>2025</v>
      </c>
      <c r="C7" s="4" t="s">
        <v>16</v>
      </c>
      <c r="D7" s="9" t="s">
        <v>7</v>
      </c>
      <c r="E7" s="5">
        <v>0.125</v>
      </c>
      <c r="F7" s="3" t="s">
        <v>15</v>
      </c>
    </row>
    <row r="8" ht="54" customHeight="1" spans="1:6">
      <c r="A8" s="7">
        <v>7</v>
      </c>
      <c r="B8" s="7">
        <v>2022</v>
      </c>
      <c r="C8" s="4" t="s">
        <v>9</v>
      </c>
      <c r="D8" s="9" t="s">
        <v>10</v>
      </c>
      <c r="E8" s="5">
        <v>0.12715</v>
      </c>
      <c r="F8" s="3" t="s">
        <v>15</v>
      </c>
    </row>
    <row r="9" ht="54" customHeight="1" spans="1:6">
      <c r="A9" s="7">
        <v>8</v>
      </c>
      <c r="B9" s="7">
        <v>2019</v>
      </c>
      <c r="C9" s="4" t="s">
        <v>17</v>
      </c>
      <c r="D9" s="9" t="s">
        <v>12</v>
      </c>
      <c r="E9" s="5">
        <v>0.39</v>
      </c>
      <c r="F9" s="3" t="s">
        <v>15</v>
      </c>
    </row>
    <row r="10" ht="54" customHeight="1" spans="1:6">
      <c r="A10" s="7">
        <v>9</v>
      </c>
      <c r="B10" s="7">
        <v>2025</v>
      </c>
      <c r="C10" s="4" t="s">
        <v>18</v>
      </c>
      <c r="D10" s="9" t="s">
        <v>19</v>
      </c>
      <c r="E10" s="5">
        <v>0.127399676</v>
      </c>
      <c r="F10" s="3" t="s">
        <v>15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M5"/>
  <sheetViews>
    <sheetView workbookViewId="0">
      <selection activeCell="D1" sqref="D1"/>
    </sheetView>
  </sheetViews>
  <sheetFormatPr defaultColWidth="9" defaultRowHeight="13.5" outlineLevelRow="4"/>
  <cols>
    <col min="1" max="1" width="8" customWidth="1"/>
    <col min="2" max="2" width="46" customWidth="1"/>
    <col min="3" max="3" width="10" customWidth="1"/>
    <col min="4" max="4" width="24" customWidth="1"/>
    <col min="5" max="9" width="7" customWidth="1"/>
    <col min="10" max="12" width="10" customWidth="1"/>
    <col min="13" max="13" width="14" customWidth="1"/>
  </cols>
  <sheetData>
    <row r="1" ht="28" customHeight="1" spans="1:13">
      <c r="A1" s="2" t="s">
        <v>0</v>
      </c>
      <c r="B1" s="2" t="s">
        <v>2</v>
      </c>
      <c r="C1" s="2" t="s">
        <v>1</v>
      </c>
      <c r="D1" s="2" t="s">
        <v>4</v>
      </c>
      <c r="E1" s="6" t="s">
        <v>20</v>
      </c>
      <c r="F1" s="6" t="s">
        <v>21</v>
      </c>
      <c r="G1" s="6" t="s">
        <v>22</v>
      </c>
      <c r="H1" s="6" t="s">
        <v>23</v>
      </c>
      <c r="I1" s="6" t="s">
        <v>24</v>
      </c>
      <c r="J1" s="6" t="s">
        <v>25</v>
      </c>
      <c r="K1" s="6" t="s">
        <v>26</v>
      </c>
      <c r="L1" s="6" t="s">
        <v>27</v>
      </c>
      <c r="M1" s="6" t="s">
        <v>28</v>
      </c>
    </row>
    <row r="2" ht="42" customHeight="1" spans="1:13">
      <c r="A2" s="7">
        <v>1</v>
      </c>
      <c r="B2" s="4" t="s">
        <v>6</v>
      </c>
      <c r="C2" s="7">
        <v>2019</v>
      </c>
      <c r="D2" s="5">
        <v>0.151301300287281</v>
      </c>
      <c r="E2" s="7">
        <v>2</v>
      </c>
      <c r="F2" s="7">
        <v>2</v>
      </c>
      <c r="G2" s="7">
        <v>2</v>
      </c>
      <c r="H2" s="7">
        <v>1</v>
      </c>
      <c r="I2" s="7">
        <v>3</v>
      </c>
      <c r="J2" s="8">
        <f>AVERAGE(E2:I2)</f>
        <v>2</v>
      </c>
      <c r="K2" s="8">
        <f>(5-J2)/4</f>
        <v>0.75</v>
      </c>
      <c r="L2" s="8">
        <f>K2/SUM($K$2:$K$5)</f>
        <v>0.267857142857143</v>
      </c>
      <c r="M2" s="5">
        <f>L2*LN(D2)</f>
        <v>-0.505843410033503</v>
      </c>
    </row>
    <row r="3" ht="42" customHeight="1" spans="1:13">
      <c r="A3" s="7">
        <v>2</v>
      </c>
      <c r="B3" s="4" t="s">
        <v>9</v>
      </c>
      <c r="C3" s="7">
        <v>2022</v>
      </c>
      <c r="D3" s="5">
        <v>0.24279</v>
      </c>
      <c r="E3" s="7">
        <v>1</v>
      </c>
      <c r="F3" s="7">
        <v>2</v>
      </c>
      <c r="G3" s="7">
        <v>2</v>
      </c>
      <c r="H3" s="7">
        <v>3</v>
      </c>
      <c r="I3" s="7">
        <v>2</v>
      </c>
      <c r="J3" s="8">
        <f>AVERAGE(E3:I3)</f>
        <v>2</v>
      </c>
      <c r="K3" s="8">
        <f>(5-J3)/4</f>
        <v>0.75</v>
      </c>
      <c r="L3" s="8">
        <f>K3/SUM($K$2:$K$5)</f>
        <v>0.267857142857143</v>
      </c>
      <c r="M3" s="5">
        <f>L3*LN(D3)</f>
        <v>-0.379167430394576</v>
      </c>
    </row>
    <row r="4" ht="42" customHeight="1" spans="1:13">
      <c r="A4" s="7">
        <v>3</v>
      </c>
      <c r="B4" s="4" t="s">
        <v>11</v>
      </c>
      <c r="C4" s="7">
        <v>2019</v>
      </c>
      <c r="D4" s="5">
        <v>0.135</v>
      </c>
      <c r="E4" s="7">
        <v>1</v>
      </c>
      <c r="F4" s="7">
        <v>1</v>
      </c>
      <c r="G4" s="7">
        <v>3</v>
      </c>
      <c r="H4" s="7">
        <v>3</v>
      </c>
      <c r="I4" s="7">
        <v>3</v>
      </c>
      <c r="J4" s="8">
        <f>AVERAGE(E4:I4)</f>
        <v>2.2</v>
      </c>
      <c r="K4" s="8">
        <f>(5-J4)/4</f>
        <v>0.7</v>
      </c>
      <c r="L4" s="8">
        <f>K4/SUM($K$2:$K$5)</f>
        <v>0.25</v>
      </c>
      <c r="M4" s="5">
        <f>L4*LN(D4)</f>
        <v>-0.500620125135927</v>
      </c>
    </row>
    <row r="5" ht="42" customHeight="1" spans="1:13">
      <c r="A5" s="7">
        <v>4</v>
      </c>
      <c r="B5" s="4" t="s">
        <v>13</v>
      </c>
      <c r="C5" s="7">
        <v>2018</v>
      </c>
      <c r="D5" s="5">
        <v>0.224386407787994</v>
      </c>
      <c r="E5" s="7">
        <v>3</v>
      </c>
      <c r="F5" s="7">
        <v>2</v>
      </c>
      <c r="G5" s="7">
        <v>2</v>
      </c>
      <c r="H5" s="7">
        <v>3</v>
      </c>
      <c r="I5" s="7">
        <v>3</v>
      </c>
      <c r="J5" s="8">
        <f>AVERAGE(E5:I5)</f>
        <v>2.6</v>
      </c>
      <c r="K5" s="8">
        <f>(5-J5)/4</f>
        <v>0.6</v>
      </c>
      <c r="L5" s="8">
        <f>K5/SUM($K$2:$K$5)</f>
        <v>0.214285714285714</v>
      </c>
      <c r="M5" s="5">
        <f>L5*LN(D5)</f>
        <v>-0.320225502540614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D4"/>
  <sheetViews>
    <sheetView workbookViewId="0">
      <selection activeCell="A1" sqref="$A1:$XFD1"/>
    </sheetView>
  </sheetViews>
  <sheetFormatPr defaultColWidth="9" defaultRowHeight="13.5" outlineLevelRow="3" outlineLevelCol="3"/>
  <cols>
    <col min="1" max="1" width="22" customWidth="1"/>
    <col min="2" max="2" width="12" customWidth="1"/>
    <col min="3" max="3" width="28" customWidth="1"/>
    <col min="4" max="4" width="14" customWidth="1"/>
  </cols>
  <sheetData>
    <row r="1" s="1" customFormat="1" ht="28" customHeight="1" spans="1:4">
      <c r="A1" s="2" t="s">
        <v>29</v>
      </c>
      <c r="B1" s="2" t="s">
        <v>30</v>
      </c>
      <c r="C1" s="2" t="s">
        <v>31</v>
      </c>
      <c r="D1" s="2" t="s">
        <v>32</v>
      </c>
    </row>
    <row r="2" ht="28" customHeight="1" spans="1:4">
      <c r="A2" s="3" t="s">
        <v>33</v>
      </c>
      <c r="B2" s="4" t="s">
        <v>34</v>
      </c>
      <c r="C2" s="5">
        <f>EXP(SUM('02_评分与权重'!M2:M5))</f>
        <v>0.18161677057372</v>
      </c>
      <c r="D2" s="3" t="s">
        <v>35</v>
      </c>
    </row>
    <row r="3" ht="28" customHeight="1" spans="1:4">
      <c r="A3" s="3" t="s">
        <v>36</v>
      </c>
      <c r="B3" s="4" t="s">
        <v>37</v>
      </c>
      <c r="C3" s="5">
        <f>AVERAGE('02_评分与权重'!D2:D5)</f>
        <v>0.188369427018819</v>
      </c>
      <c r="D3" s="3" t="s">
        <v>38</v>
      </c>
    </row>
    <row r="4" ht="28" customHeight="1" spans="1:4">
      <c r="A4" s="3" t="s">
        <v>39</v>
      </c>
      <c r="B4" s="4" t="s">
        <v>40</v>
      </c>
      <c r="C4" s="5">
        <f>GEOMEAN('02_评分与权重'!D2:D5)</f>
        <v>0.182642121240962</v>
      </c>
      <c r="D4" s="3" t="s">
        <v>38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01_数据来源</vt:lpstr>
      <vt:lpstr>02_评分与权重</vt:lpstr>
      <vt:lpstr>03_最终结果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朱易成</dc:creator>
  <cp:lastModifiedBy>朱易成</cp:lastModifiedBy>
  <dcterms:created xsi:type="dcterms:W3CDTF">2026-09-02T03:49:00Z</dcterms:created>
  <dcterms:modified xsi:type="dcterms:W3CDTF">2026-09-02T04:11:38Z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96481DF30207411DBA4545CCAC3830B9_12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