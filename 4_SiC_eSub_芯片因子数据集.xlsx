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与准入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<sst xmlns="http://schemas.openxmlformats.org/spreadsheetml/2006/main" count="131" uniqueCount="75">
  <si>
    <t>编号</t>
  </si>
  <si>
    <t>数据年份</t>
  </si>
  <si>
    <t>来源</t>
  </si>
  <si>
    <t>来源地址</t>
  </si>
  <si>
    <r>
      <rPr>
        <b/>
        <sz val="10"/>
        <color rgb="FF000000"/>
        <rFont val="宋体"/>
        <charset val="134"/>
      </rPr>
      <t>归一化因子（</t>
    </r>
    <r>
      <rPr>
        <b/>
        <sz val="10"/>
        <color rgb="FF000000"/>
        <rFont val="Times New Roman"/>
        <charset val="134"/>
      </rPr>
      <t>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e/cm</t>
    </r>
    <r>
      <rPr>
        <b/>
        <vertAlign val="super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 xml:space="preserve"> physical substrate</t>
    </r>
    <r>
      <rPr>
        <b/>
        <sz val="10"/>
        <color rgb="FF000000"/>
        <rFont val="宋体"/>
        <charset val="134"/>
      </rPr>
      <t>）</t>
    </r>
  </si>
  <si>
    <t>准入等级</t>
  </si>
  <si>
    <t>是否纳入基准</t>
  </si>
  <si>
    <t>2015–2017</t>
  </si>
  <si>
    <t>Saleem 2025</t>
  </si>
  <si>
    <t>https://aaltodoc.aalto.fi/items/df7af803-27bc-4576-956e-362431a4c774</t>
  </si>
  <si>
    <t>B</t>
  </si>
  <si>
    <t>是</t>
  </si>
  <si>
    <t>Sanan 6-inch 2025</t>
  </si>
  <si>
    <t>https://www.sanan-semiconductor.com/news-147</t>
  </si>
  <si>
    <t>A</t>
  </si>
  <si>
    <t>Arvidsson &amp; Molander 2017</t>
  </si>
  <si>
    <t>https://doi.org/10.1111/jiec.12526</t>
  </si>
  <si>
    <t>未提供</t>
  </si>
  <si>
    <t>D</t>
  </si>
  <si>
    <t>否</t>
  </si>
  <si>
    <t>Musil 2023</t>
  </si>
  <si>
    <t>https://doi.org/10.30420/566091368</t>
  </si>
  <si>
    <t>Radwan et al. 2025</t>
  </si>
  <si>
    <t>https://doi.org/10.1109/SusTech63138.2025.11025776</t>
  </si>
  <si>
    <t>Anchustegui 2026</t>
  </si>
  <si>
    <t>https://research.chalmers.se/en/publication/552074</t>
  </si>
  <si>
    <t>Amann 2026</t>
  </si>
  <si>
    <t>https://doi.org/10.6094/unifr/275407</t>
  </si>
  <si>
    <t>Vanhouche 2024</t>
  </si>
  <si>
    <t>https://doi.org/10.23919/EGG62010.2024.10631181</t>
  </si>
  <si>
    <t>SICC 6-inch 2025</t>
  </si>
  <si>
    <t>https://www.sicc.cc/upload/image/IZq452FIl4m5KeKQ76ADpOBQwUTgNop1b2Ya8X4F.pdf</t>
  </si>
  <si>
    <t>SICC 8-inch 2025</t>
  </si>
  <si>
    <t>Warren PVT 2015</t>
  </si>
  <si>
    <t>https://doi.org/10.1021/acs.est.5b01627</t>
  </si>
  <si>
    <t>Warren HTCVD 2015</t>
  </si>
  <si>
    <t>Díaz Triana 2021</t>
  </si>
  <si>
    <t>https://doi.org/10.34726/6339</t>
  </si>
  <si>
    <t>Spejo 2023</t>
  </si>
  <si>
    <t>https://doi.org/10.1016/j.pedc.2023.100050</t>
  </si>
  <si>
    <t>SICC corporate 2024</t>
  </si>
  <si>
    <t>https://www.sicc.cc/upload/image/7Ny0vSWkqwu13imuMS9ubpaaRbu1CE2KBIOdP0xu.pdf</t>
  </si>
  <si>
    <t>Wolfspeed 200mm 2026</t>
  </si>
  <si>
    <t>https://assets.wolfspeed.com/uploads/2026/04/Wolfspeed_PCF_ISO_14067_Verified.pdf</t>
  </si>
  <si>
    <t>TanKeBlue 2025</t>
  </si>
  <si>
    <t>https://www.eet-china.com/mp/a442063.html</t>
  </si>
  <si>
    <t>Soitec SmartSiC 2023</t>
  </si>
  <si>
    <t>https://www.soitec.com/home/group/corporate/newsroom/press-releases/2023/09/28/soitec-opens-new-plant--positioning-smartsic--as-a-future-electric-vehicle-standard</t>
  </si>
  <si>
    <t>来源族</t>
  </si>
  <si>
    <t>R</t>
  </si>
  <si>
    <t>C</t>
  </si>
  <si>
    <t>Te</t>
  </si>
  <si>
    <t>G</t>
  </si>
  <si>
    <t>T</t>
  </si>
  <si>
    <t>DQR</t>
  </si>
  <si>
    <t>Q</t>
  </si>
  <si>
    <t>n_f</t>
  </si>
  <si>
    <t>d</t>
  </si>
  <si>
    <t>w</t>
  </si>
  <si>
    <t>W</t>
  </si>
  <si>
    <t>w·ln(e)</t>
  </si>
  <si>
    <t>SF-PVT-Warren-Sphera</t>
  </si>
  <si>
    <t>SF-Sanan-2025-PCF</t>
  </si>
  <si>
    <t>方法</t>
  </si>
  <si>
    <t>符号</t>
  </si>
  <si>
    <r>
      <t>最终结果（</t>
    </r>
    <r>
      <rPr>
        <b/>
        <sz val="10"/>
        <color rgb="FF000000"/>
        <rFont val="Times New Roman"/>
        <charset val="134"/>
      </rPr>
      <t>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e/cm</t>
    </r>
    <r>
      <rPr>
        <b/>
        <vertAlign val="super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 xml:space="preserve"> physical substrate</t>
    </r>
    <r>
      <rPr>
        <b/>
        <sz val="10"/>
        <color rgb="FF000000"/>
        <rFont val="宋体"/>
        <charset val="134"/>
      </rPr>
      <t>）</t>
    </r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</si>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</sst>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6">
    <font>
      <sz val="11"/>
      <name val="Carlito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vertAlign val="subscript"/>
      <sz val="10"/>
      <color rgb="FF000000"/>
      <name val="Times New Roman"/>
      <charset val="134"/>
    </font>
    <font>
      <b/>
      <vertAlign val="superscript"/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Times New Roman"/>
        <a:ea typeface="宋体"/>
        <a:cs typeface="Times New Roman"/>
      </a:majorFont>
      <a:minorFont>
        <a:latin typeface="Times New Roman"/>
        <a:ea typeface="宋体"/>
        <a:cs typeface="Times New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00"/>
  <sheetViews>
    <sheetView tabSelected="1" topLeftCell="B1" workbookViewId="0">
      <selection activeCell="E1" sqref="E1"/>
    </sheetView>
  </sheetViews>
  <sheetFormatPr defaultColWidth="9" defaultRowHeight="13.5" outlineLevelCol="6"/>
  <cols>
    <col min="1" max="1" width="8" customWidth="1"/>
    <col min="2" max="2" width="15" customWidth="1"/>
    <col min="3" max="3" width="30" customWidth="1"/>
    <col min="4" max="4" width="58" customWidth="1"/>
    <col min="5" max="5" width="26" customWidth="1"/>
    <col min="6" max="6" width="10" customWidth="1"/>
    <col min="7" max="7" width="12" customWidth="1"/>
  </cols>
  <sheetData>
    <row r="1" ht="3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customHeight="1" spans="1:7">
      <c r="A2" s="3">
        <v>1</v>
      </c>
      <c r="B2" s="3" t="s">
        <v>7</v>
      </c>
      <c r="C2" s="3" t="s">
        <v>8</v>
      </c>
      <c r="D2" s="3" t="s">
        <v>9</v>
      </c>
      <c r="E2" s="4">
        <v>2.2179</v>
      </c>
      <c r="F2" s="3" t="s">
        <v>10</v>
      </c>
      <c r="G2" s="2" t="s">
        <v>11</v>
      </c>
    </row>
    <row r="3" ht="28" customHeight="1" spans="1:7">
      <c r="A3" s="3">
        <v>2</v>
      </c>
      <c r="B3" s="3">
        <v>2025</v>
      </c>
      <c r="C3" s="3" t="s">
        <v>12</v>
      </c>
      <c r="D3" s="3" t="s">
        <v>13</v>
      </c>
      <c r="E3" s="4">
        <v>0.434599097936269</v>
      </c>
      <c r="F3" s="3" t="s">
        <v>14</v>
      </c>
      <c r="G3" s="2" t="s">
        <v>11</v>
      </c>
    </row>
    <row r="4" ht="28" customHeight="1" spans="1:7">
      <c r="A4" s="3">
        <v>3</v>
      </c>
      <c r="B4" s="3">
        <v>2017</v>
      </c>
      <c r="C4" s="3" t="s">
        <v>15</v>
      </c>
      <c r="D4" s="3" t="s">
        <v>16</v>
      </c>
      <c r="E4" s="8" t="s">
        <v>17</v>
      </c>
      <c r="F4" s="3" t="s">
        <v>18</v>
      </c>
      <c r="G4" s="2" t="s">
        <v>19</v>
      </c>
    </row>
    <row r="5" ht="28" customHeight="1" spans="1:7">
      <c r="A5" s="3">
        <v>4</v>
      </c>
      <c r="B5" s="3">
        <v>2023</v>
      </c>
      <c r="C5" s="3" t="s">
        <v>20</v>
      </c>
      <c r="D5" s="3" t="s">
        <v>21</v>
      </c>
      <c r="E5" s="8" t="s">
        <v>17</v>
      </c>
      <c r="F5" s="3" t="s">
        <v>18</v>
      </c>
      <c r="G5" s="2" t="s">
        <v>19</v>
      </c>
    </row>
    <row r="6" ht="28" customHeight="1" spans="1:7">
      <c r="A6" s="3">
        <v>5</v>
      </c>
      <c r="B6" s="3">
        <v>2025</v>
      </c>
      <c r="C6" s="3" t="s">
        <v>22</v>
      </c>
      <c r="D6" s="3" t="s">
        <v>23</v>
      </c>
      <c r="E6" s="8" t="s">
        <v>17</v>
      </c>
      <c r="F6" s="3" t="s">
        <v>18</v>
      </c>
      <c r="G6" s="2" t="s">
        <v>19</v>
      </c>
    </row>
    <row r="7" ht="28" customHeight="1" spans="1:7">
      <c r="A7" s="3">
        <v>6</v>
      </c>
      <c r="B7" s="3">
        <v>2026</v>
      </c>
      <c r="C7" s="3" t="s">
        <v>24</v>
      </c>
      <c r="D7" s="3" t="s">
        <v>25</v>
      </c>
      <c r="E7" s="8" t="s">
        <v>17</v>
      </c>
      <c r="F7" s="3" t="s">
        <v>18</v>
      </c>
      <c r="G7" s="2" t="s">
        <v>19</v>
      </c>
    </row>
    <row r="8" ht="28" customHeight="1" spans="1:7">
      <c r="A8" s="3">
        <v>7</v>
      </c>
      <c r="B8" s="3">
        <v>2026</v>
      </c>
      <c r="C8" s="3" t="s">
        <v>26</v>
      </c>
      <c r="D8" s="3" t="s">
        <v>27</v>
      </c>
      <c r="E8" s="8" t="s">
        <v>17</v>
      </c>
      <c r="F8" s="3" t="s">
        <v>18</v>
      </c>
      <c r="G8" s="2" t="s">
        <v>19</v>
      </c>
    </row>
    <row r="9" ht="28" customHeight="1" spans="1:7">
      <c r="A9" s="3">
        <v>8</v>
      </c>
      <c r="B9" s="3">
        <v>2024</v>
      </c>
      <c r="C9" s="3" t="s">
        <v>28</v>
      </c>
      <c r="D9" s="3" t="s">
        <v>29</v>
      </c>
      <c r="E9" s="8" t="s">
        <v>17</v>
      </c>
      <c r="F9" s="3" t="s">
        <v>18</v>
      </c>
      <c r="G9" s="2" t="s">
        <v>19</v>
      </c>
    </row>
    <row r="10" ht="28" customHeight="1" spans="1:7">
      <c r="A10" s="3">
        <v>9</v>
      </c>
      <c r="B10" s="3">
        <v>2025</v>
      </c>
      <c r="C10" s="3" t="s">
        <v>30</v>
      </c>
      <c r="D10" s="3" t="s">
        <v>31</v>
      </c>
      <c r="E10" s="8" t="s">
        <v>17</v>
      </c>
      <c r="F10" s="3" t="s">
        <v>18</v>
      </c>
      <c r="G10" s="2" t="s">
        <v>19</v>
      </c>
    </row>
    <row r="11" ht="28" customHeight="1" spans="1:7">
      <c r="A11" s="3">
        <v>10</v>
      </c>
      <c r="B11" s="3">
        <v>2025</v>
      </c>
      <c r="C11" s="3" t="s">
        <v>32</v>
      </c>
      <c r="D11" s="3" t="s">
        <v>31</v>
      </c>
      <c r="E11" s="8" t="s">
        <v>17</v>
      </c>
      <c r="F11" s="3" t="s">
        <v>18</v>
      </c>
      <c r="G11" s="2" t="s">
        <v>19</v>
      </c>
    </row>
    <row r="12" ht="28" customHeight="1" spans="1:7">
      <c r="A12" s="3">
        <v>11</v>
      </c>
      <c r="B12" s="3">
        <v>2015</v>
      </c>
      <c r="C12" s="3" t="s">
        <v>33</v>
      </c>
      <c r="D12" s="3" t="s">
        <v>34</v>
      </c>
      <c r="E12" s="8" t="s">
        <v>17</v>
      </c>
      <c r="F12" s="3" t="s">
        <v>18</v>
      </c>
      <c r="G12" s="2" t="s">
        <v>19</v>
      </c>
    </row>
    <row r="13" ht="28" customHeight="1" spans="1:7">
      <c r="A13" s="3">
        <v>12</v>
      </c>
      <c r="B13" s="3">
        <v>2015</v>
      </c>
      <c r="C13" s="3" t="s">
        <v>35</v>
      </c>
      <c r="D13" s="3" t="s">
        <v>34</v>
      </c>
      <c r="E13" s="8" t="s">
        <v>17</v>
      </c>
      <c r="F13" s="3" t="s">
        <v>18</v>
      </c>
      <c r="G13" s="2" t="s">
        <v>19</v>
      </c>
    </row>
    <row r="14" ht="28" customHeight="1" spans="1:7">
      <c r="A14" s="3">
        <v>13</v>
      </c>
      <c r="B14" s="3">
        <v>2021</v>
      </c>
      <c r="C14" s="3" t="s">
        <v>36</v>
      </c>
      <c r="D14" s="3" t="s">
        <v>37</v>
      </c>
      <c r="E14" s="8" t="s">
        <v>17</v>
      </c>
      <c r="F14" s="3" t="s">
        <v>18</v>
      </c>
      <c r="G14" s="2" t="s">
        <v>19</v>
      </c>
    </row>
    <row r="15" ht="28" customHeight="1" spans="1:7">
      <c r="A15" s="3">
        <v>14</v>
      </c>
      <c r="B15" s="3">
        <v>2023</v>
      </c>
      <c r="C15" s="3" t="s">
        <v>38</v>
      </c>
      <c r="D15" s="3" t="s">
        <v>39</v>
      </c>
      <c r="E15" s="8" t="s">
        <v>17</v>
      </c>
      <c r="F15" s="3" t="s">
        <v>18</v>
      </c>
      <c r="G15" s="2" t="s">
        <v>19</v>
      </c>
    </row>
    <row r="16" ht="28" customHeight="1" spans="1:7">
      <c r="A16" s="3">
        <v>15</v>
      </c>
      <c r="B16" s="3">
        <v>2024</v>
      </c>
      <c r="C16" s="3" t="s">
        <v>40</v>
      </c>
      <c r="D16" s="3" t="s">
        <v>41</v>
      </c>
      <c r="E16" s="8" t="s">
        <v>17</v>
      </c>
      <c r="F16" s="3" t="s">
        <v>18</v>
      </c>
      <c r="G16" s="2" t="s">
        <v>19</v>
      </c>
    </row>
    <row r="17" ht="28" customHeight="1" spans="1:7">
      <c r="A17" s="3">
        <v>16</v>
      </c>
      <c r="B17" s="3">
        <v>2026</v>
      </c>
      <c r="C17" s="3" t="s">
        <v>42</v>
      </c>
      <c r="D17" s="3" t="s">
        <v>43</v>
      </c>
      <c r="E17" s="8" t="s">
        <v>17</v>
      </c>
      <c r="F17" s="3" t="s">
        <v>18</v>
      </c>
      <c r="G17" s="2" t="s">
        <v>19</v>
      </c>
    </row>
    <row r="18" ht="28" customHeight="1" spans="1:7">
      <c r="A18" s="3">
        <v>17</v>
      </c>
      <c r="B18" s="3">
        <v>2025</v>
      </c>
      <c r="C18" s="3" t="s">
        <v>44</v>
      </c>
      <c r="D18" s="3" t="s">
        <v>45</v>
      </c>
      <c r="E18" s="8" t="s">
        <v>17</v>
      </c>
      <c r="F18" s="3" t="s">
        <v>18</v>
      </c>
      <c r="G18" s="2" t="s">
        <v>19</v>
      </c>
    </row>
    <row r="19" ht="42" customHeight="1" spans="1:7">
      <c r="A19" s="3">
        <v>18</v>
      </c>
      <c r="B19" s="3">
        <v>2023</v>
      </c>
      <c r="C19" s="3" t="s">
        <v>46</v>
      </c>
      <c r="D19" s="3" t="s">
        <v>47</v>
      </c>
      <c r="E19" s="8" t="s">
        <v>17</v>
      </c>
      <c r="F19" s="3" t="s">
        <v>18</v>
      </c>
      <c r="G19" s="2" t="s">
        <v>19</v>
      </c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  <row r="25" spans="1:7">
      <c r="A25" s="5"/>
      <c r="B25" s="5"/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  <row r="41" spans="1:7">
      <c r="A41" s="5"/>
      <c r="B41" s="5"/>
      <c r="C41" s="5"/>
      <c r="D41" s="5"/>
      <c r="E41" s="5"/>
      <c r="F41" s="5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  <row r="61" spans="1:7">
      <c r="A61" s="5"/>
      <c r="B61" s="5"/>
      <c r="C61" s="5"/>
      <c r="D61" s="5"/>
      <c r="E61" s="5"/>
      <c r="F61" s="5"/>
      <c r="G61" s="5"/>
    </row>
    <row r="62" spans="1:7">
      <c r="A62" s="5"/>
      <c r="B62" s="5"/>
      <c r="C62" s="5"/>
      <c r="D62" s="5"/>
      <c r="E62" s="5"/>
      <c r="F62" s="5"/>
      <c r="G62" s="5"/>
    </row>
    <row r="63" spans="1:7">
      <c r="A63" s="5"/>
      <c r="B63" s="5"/>
      <c r="C63" s="5"/>
      <c r="D63" s="5"/>
      <c r="E63" s="5"/>
      <c r="F63" s="5"/>
      <c r="G63" s="5"/>
    </row>
    <row r="64" spans="1:7">
      <c r="A64" s="5"/>
      <c r="B64" s="5"/>
      <c r="C64" s="5"/>
      <c r="D64" s="5"/>
      <c r="E64" s="5"/>
      <c r="F64" s="5"/>
      <c r="G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5"/>
      <c r="B66" s="5"/>
      <c r="C66" s="5"/>
      <c r="D66" s="5"/>
      <c r="E66" s="5"/>
      <c r="F66" s="5"/>
      <c r="G66" s="5"/>
    </row>
    <row r="67" spans="1:7">
      <c r="A67" s="5"/>
      <c r="B67" s="5"/>
      <c r="C67" s="5"/>
      <c r="D67" s="5"/>
      <c r="E67" s="5"/>
      <c r="F67" s="5"/>
      <c r="G67" s="5"/>
    </row>
    <row r="68" spans="1:7">
      <c r="A68" s="5"/>
      <c r="B68" s="5"/>
      <c r="C68" s="5"/>
      <c r="D68" s="5"/>
      <c r="E68" s="5"/>
      <c r="F68" s="5"/>
      <c r="G68" s="5"/>
    </row>
    <row r="69" spans="1:7">
      <c r="A69" s="5"/>
      <c r="B69" s="5"/>
      <c r="C69" s="5"/>
      <c r="D69" s="5"/>
      <c r="E69" s="5"/>
      <c r="F69" s="5"/>
      <c r="G69" s="5"/>
    </row>
    <row r="70" spans="1:7">
      <c r="A70" s="5"/>
      <c r="B70" s="5"/>
      <c r="C70" s="5"/>
      <c r="D70" s="5"/>
      <c r="E70" s="5"/>
      <c r="F70" s="5"/>
      <c r="G70" s="5"/>
    </row>
    <row r="71" spans="1:7">
      <c r="A71" s="5"/>
      <c r="B71" s="5"/>
      <c r="C71" s="5"/>
      <c r="D71" s="5"/>
      <c r="E71" s="5"/>
      <c r="F71" s="5"/>
      <c r="G71" s="5"/>
    </row>
    <row r="72" spans="1:7">
      <c r="A72" s="5"/>
      <c r="B72" s="5"/>
      <c r="C72" s="5"/>
      <c r="D72" s="5"/>
      <c r="E72" s="5"/>
      <c r="F72" s="5"/>
      <c r="G72" s="5"/>
    </row>
    <row r="73" spans="1:7">
      <c r="A73" s="5"/>
      <c r="B73" s="5"/>
      <c r="C73" s="5"/>
      <c r="D73" s="5"/>
      <c r="E73" s="5"/>
      <c r="F73" s="5"/>
      <c r="G73" s="5"/>
    </row>
    <row r="74" spans="1:7">
      <c r="A74" s="5"/>
      <c r="B74" s="5"/>
      <c r="C74" s="5"/>
      <c r="D74" s="5"/>
      <c r="E74" s="5"/>
      <c r="F74" s="5"/>
      <c r="G74" s="5"/>
    </row>
    <row r="75" spans="1:7">
      <c r="A75" s="5"/>
      <c r="B75" s="5"/>
      <c r="C75" s="5"/>
      <c r="D75" s="5"/>
      <c r="E75" s="5"/>
      <c r="F75" s="5"/>
      <c r="G75" s="5"/>
    </row>
    <row r="76" spans="1:7">
      <c r="A76" s="5"/>
      <c r="B76" s="5"/>
      <c r="C76" s="5"/>
      <c r="D76" s="5"/>
      <c r="E76" s="5"/>
      <c r="F76" s="5"/>
      <c r="G76" s="5"/>
    </row>
    <row r="77" spans="1:7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"/>
      <c r="D78" s="5"/>
      <c r="E78" s="5"/>
      <c r="F78" s="5"/>
      <c r="G78" s="5"/>
    </row>
    <row r="79" spans="1:7">
      <c r="A79" s="5"/>
      <c r="B79" s="5"/>
      <c r="C79" s="5"/>
      <c r="D79" s="5"/>
      <c r="E79" s="5"/>
      <c r="F79" s="5"/>
      <c r="G79" s="5"/>
    </row>
    <row r="80" spans="1:7">
      <c r="A80" s="5"/>
      <c r="B80" s="5"/>
      <c r="C80" s="5"/>
      <c r="D80" s="5"/>
      <c r="E80" s="5"/>
      <c r="F80" s="5"/>
      <c r="G80" s="5"/>
    </row>
    <row r="81" spans="1:7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"/>
      <c r="D82" s="5"/>
      <c r="E82" s="5"/>
      <c r="F82" s="5"/>
      <c r="G82" s="5"/>
    </row>
    <row r="83" spans="1:7">
      <c r="A83" s="5"/>
      <c r="B83" s="5"/>
      <c r="C83" s="5"/>
      <c r="D83" s="5"/>
      <c r="E83" s="5"/>
      <c r="F83" s="5"/>
      <c r="G83" s="5"/>
    </row>
    <row r="84" spans="1:7">
      <c r="A84" s="5"/>
      <c r="B84" s="5"/>
      <c r="C84" s="5"/>
      <c r="D84" s="5"/>
      <c r="E84" s="5"/>
      <c r="F84" s="5"/>
      <c r="G84" s="5"/>
    </row>
    <row r="85" spans="1:7">
      <c r="A85" s="5"/>
      <c r="B85" s="5"/>
      <c r="C85" s="5"/>
      <c r="D85" s="5"/>
      <c r="E85" s="5"/>
      <c r="F85" s="5"/>
      <c r="G85" s="5"/>
    </row>
    <row r="86" spans="1:7">
      <c r="A86" s="5"/>
      <c r="B86" s="5"/>
      <c r="C86" s="5"/>
      <c r="D86" s="5"/>
      <c r="E86" s="5"/>
      <c r="F86" s="5"/>
      <c r="G86" s="5"/>
    </row>
    <row r="87" spans="1:7">
      <c r="A87" s="5"/>
      <c r="B87" s="5"/>
      <c r="C87" s="5"/>
      <c r="D87" s="5"/>
      <c r="E87" s="5"/>
      <c r="F87" s="5"/>
      <c r="G87" s="5"/>
    </row>
    <row r="88" spans="1:7">
      <c r="A88" s="5"/>
      <c r="B88" s="5"/>
      <c r="C88" s="5"/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  <row r="90" spans="1:7">
      <c r="A90" s="5"/>
      <c r="B90" s="5"/>
      <c r="C90" s="5"/>
      <c r="D90" s="5"/>
      <c r="E90" s="5"/>
      <c r="F90" s="5"/>
      <c r="G90" s="5"/>
    </row>
    <row r="91" spans="1:7">
      <c r="A91" s="5"/>
      <c r="B91" s="5"/>
      <c r="C91" s="5"/>
      <c r="D91" s="5"/>
      <c r="E91" s="5"/>
      <c r="F91" s="5"/>
      <c r="G91" s="5"/>
    </row>
    <row r="92" spans="1:7">
      <c r="A92" s="5"/>
      <c r="B92" s="5"/>
      <c r="C92" s="5"/>
      <c r="D92" s="5"/>
      <c r="E92" s="5"/>
      <c r="F92" s="5"/>
      <c r="G92" s="5"/>
    </row>
    <row r="93" spans="1:7">
      <c r="A93" s="5"/>
      <c r="B93" s="5"/>
      <c r="C93" s="5"/>
      <c r="D93" s="5"/>
      <c r="E93" s="5"/>
      <c r="F93" s="5"/>
      <c r="G93" s="5"/>
    </row>
    <row r="94" spans="1:7">
      <c r="A94" s="5"/>
      <c r="B94" s="5"/>
      <c r="C94" s="5"/>
      <c r="D94" s="5"/>
      <c r="E94" s="5"/>
      <c r="F94" s="5"/>
      <c r="G94" s="5"/>
    </row>
    <row r="95" spans="1:7">
      <c r="A95" s="5"/>
      <c r="B95" s="5"/>
      <c r="C95" s="5"/>
      <c r="D95" s="5"/>
      <c r="E95" s="5"/>
      <c r="F95" s="5"/>
      <c r="G95" s="5"/>
    </row>
    <row r="96" spans="1:7">
      <c r="A96" s="5"/>
      <c r="B96" s="5"/>
      <c r="C96" s="5"/>
      <c r="D96" s="5"/>
      <c r="E96" s="5"/>
      <c r="F96" s="5"/>
      <c r="G96" s="5"/>
    </row>
    <row r="97" spans="1:7">
      <c r="A97" s="5"/>
      <c r="B97" s="5"/>
      <c r="C97" s="5"/>
      <c r="D97" s="5"/>
      <c r="E97" s="5"/>
      <c r="F97" s="5"/>
      <c r="G97" s="5"/>
    </row>
    <row r="98" spans="1:7">
      <c r="A98" s="5"/>
      <c r="B98" s="5"/>
      <c r="C98" s="5"/>
      <c r="D98" s="5"/>
      <c r="E98" s="5"/>
      <c r="F98" s="5"/>
      <c r="G98" s="5"/>
    </row>
    <row r="99" spans="1:7">
      <c r="A99" s="5"/>
      <c r="B99" s="5"/>
      <c r="C99" s="5"/>
      <c r="D99" s="5"/>
      <c r="E99" s="5"/>
      <c r="F99" s="5"/>
      <c r="G99" s="5"/>
    </row>
    <row r="100" spans="1:7">
      <c r="A100" s="5"/>
      <c r="B100" s="5"/>
      <c r="C100" s="5"/>
      <c r="D100" s="5"/>
      <c r="E100" s="5"/>
      <c r="F100" s="5"/>
      <c r="G10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00"/>
  <sheetViews>
    <sheetView workbookViewId="0">
      <selection activeCell="E1" sqref="E1"/>
    </sheetView>
  </sheetViews>
  <sheetFormatPr defaultColWidth="9" defaultRowHeight="13.5"/>
  <cols>
    <col min="1" max="1" width="8" customWidth="1"/>
    <col min="2" max="2" width="28" customWidth="1"/>
    <col min="3" max="3" width="15" customWidth="1"/>
    <col min="4" max="4" width="10" customWidth="1"/>
    <col min="5" max="5" width="26" customWidth="1"/>
    <col min="6" max="10" width="7" customWidth="1"/>
    <col min="11" max="11" width="10" customWidth="1"/>
    <col min="12" max="12" width="9" customWidth="1"/>
    <col min="13" max="14" width="8" customWidth="1"/>
    <col min="15" max="16" width="9" customWidth="1"/>
    <col min="17" max="17" width="12" customWidth="1"/>
  </cols>
  <sheetData>
    <row r="1" ht="38" customHeight="1" spans="1:17">
      <c r="A1" s="1" t="s">
        <v>0</v>
      </c>
      <c r="B1" s="1" t="s">
        <v>48</v>
      </c>
      <c r="C1" s="1" t="s">
        <v>1</v>
      </c>
      <c r="D1" s="1" t="s">
        <v>5</v>
      </c>
      <c r="E1" s="1" t="s">
        <v>4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</row>
    <row r="2" ht="28" customHeight="1" spans="1:17">
      <c r="A2" s="3">
        <v>1</v>
      </c>
      <c r="B2" s="3" t="s">
        <v>61</v>
      </c>
      <c r="C2" s="3" t="s">
        <v>7</v>
      </c>
      <c r="D2" s="3" t="s">
        <v>10</v>
      </c>
      <c r="E2" s="4">
        <v>2.2179</v>
      </c>
      <c r="F2" s="7">
        <v>3</v>
      </c>
      <c r="G2" s="7">
        <v>4</v>
      </c>
      <c r="H2" s="7">
        <v>3</v>
      </c>
      <c r="I2" s="7">
        <v>3</v>
      </c>
      <c r="J2" s="7">
        <v>5</v>
      </c>
      <c r="K2" s="4">
        <f>(F2+G2+H2+I2+J2)/5</f>
        <v>3.6</v>
      </c>
      <c r="L2" s="4">
        <f>(5-K2)/4</f>
        <v>0.35</v>
      </c>
      <c r="M2" s="7">
        <f>COUNTIF($B$2:$B$3,B2)</f>
        <v>1</v>
      </c>
      <c r="N2" s="4">
        <f>1/M2</f>
        <v>1</v>
      </c>
      <c r="O2" s="4">
        <f>L2*N2</f>
        <v>0.35</v>
      </c>
      <c r="P2" s="4">
        <f>O2/SUM($O$2:$O$3)</f>
        <v>0.28</v>
      </c>
      <c r="Q2" s="4">
        <f>O2*LN(E2)</f>
        <v>0.278796280787159</v>
      </c>
    </row>
    <row r="3" ht="28" customHeight="1" spans="1:17">
      <c r="A3" s="3">
        <v>2</v>
      </c>
      <c r="B3" s="3" t="s">
        <v>62</v>
      </c>
      <c r="C3" s="3">
        <v>2025</v>
      </c>
      <c r="D3" s="3" t="s">
        <v>14</v>
      </c>
      <c r="E3" s="4">
        <v>0.434599097936269</v>
      </c>
      <c r="F3" s="7">
        <v>1</v>
      </c>
      <c r="G3" s="7">
        <v>2</v>
      </c>
      <c r="H3" s="7">
        <v>1</v>
      </c>
      <c r="I3" s="7">
        <v>1</v>
      </c>
      <c r="J3" s="7">
        <v>2</v>
      </c>
      <c r="K3" s="4">
        <f>(F3+G3+H3+I3+J3)/5</f>
        <v>1.4</v>
      </c>
      <c r="L3" s="4">
        <f>(5-K3)/4</f>
        <v>0.9</v>
      </c>
      <c r="M3" s="7">
        <f>COUNTIF($B$2:$B$3,B3)</f>
        <v>1</v>
      </c>
      <c r="N3" s="4">
        <f>1/M3</f>
        <v>1</v>
      </c>
      <c r="O3" s="4">
        <f>L3*N3</f>
        <v>0.9</v>
      </c>
      <c r="P3" s="4">
        <f>O3/SUM($O$2:$O$3)</f>
        <v>0.72</v>
      </c>
      <c r="Q3" s="4">
        <f>O3*LN(E3)</f>
        <v>-0.749998158102273</v>
      </c>
    </row>
    <row r="4" spans="1:1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0"/>
  <sheetViews>
    <sheetView workbookViewId="0">
      <selection activeCell="C6" sqref="C6"/>
    </sheetView>
  </sheetViews>
  <sheetFormatPr defaultColWidth="9" defaultRowHeight="13.5" outlineLevelCol="3"/>
  <cols>
    <col min="1" max="1" width="24" customWidth="1"/>
    <col min="2" max="2" width="12" customWidth="1"/>
    <col min="3" max="3" width="28" customWidth="1"/>
    <col min="4" max="4" width="16" customWidth="1"/>
  </cols>
  <sheetData>
    <row r="1" ht="38" customHeight="1" spans="1:4">
      <c r="A1" s="1" t="s">
        <v>63</v>
      </c>
      <c r="B1" s="1" t="s">
        <v>64</v>
      </c>
      <c r="C1" s="1" t="s">
        <v>65</v>
      </c>
      <c r="D1" s="1" t="s">
        <v>66</v>
      </c>
    </row>
    <row r="2" ht="28" customHeight="1" spans="1:4">
      <c r="A2" s="2" t="s">
        <v>67</v>
      </c>
      <c r="B2" s="3" t="s">
        <v>68</v>
      </c>
      <c r="C2" s="4">
        <f>EXP(SUM('02_评分与权重'!Q2:Q3)/SUM('02_评分与权重'!O2:O3))</f>
        <v>0.685942480902794</v>
      </c>
      <c r="D2" s="2" t="s">
        <v>69</v>
      </c>
    </row>
    <row r="3" ht="28" customHeight="1" spans="1:4">
      <c r="A3" s="2" t="s">
        <v>70</v>
      </c>
      <c r="B3" s="3" t="s">
        <v>71</v>
      </c>
      <c r="C3" s="4">
        <f>AVERAGE('02_评分与权重'!E2:E3)</f>
        <v>1.32624954896813</v>
      </c>
      <c r="D3" s="2" t="s">
        <v>72</v>
      </c>
    </row>
    <row r="4" ht="28" customHeight="1" spans="1:4">
      <c r="A4" s="2" t="s">
        <v>73</v>
      </c>
      <c r="B4" s="3" t="s">
        <v>74</v>
      </c>
      <c r="C4" s="4">
        <f>GEOMEAN('02_评分与权重'!E2:E3)</f>
        <v>0.981782735289662</v>
      </c>
      <c r="D4" s="2" t="s">
        <v>72</v>
      </c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01_数据来源与准入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2026-09-02T04:26:00Z</dcterms:created>
  <dcterms:modified xsi:type="dcterms:W3CDTF">2026-09-02T04:50:07Z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6C79381E89B742B4BF277CE1DAB1E422_12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